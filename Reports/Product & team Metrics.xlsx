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SMB-TMTCO.tmt.local\userdata$\vyntt\Documents\SMO\"/>
    </mc:Choice>
  </mc:AlternateContent>
  <bookViews>
    <workbookView xWindow="0" yWindow="0" windowWidth="16380" windowHeight="8196" tabRatio="500" firstSheet="1" activeTab="1"/>
  </bookViews>
  <sheets>
    <sheet name="Sheet1" sheetId="10" state="hidden" r:id="rId1"/>
    <sheet name="1. Product Metrics" sheetId="2" r:id="rId2"/>
    <sheet name="2. Team Metrics" sheetId="3" r:id="rId3"/>
    <sheet name="3. Report Structure" sheetId="4" r:id="rId4"/>
    <sheet name="4. Sprint Report Template" sheetId="5" r:id="rId5"/>
    <sheet name="Sample Quarterly Report" sheetId="9" r:id="rId6"/>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E24" i="9" l="1"/>
  <c r="G22" i="9"/>
  <c r="E22" i="9"/>
  <c r="E21" i="9"/>
  <c r="E19" i="9"/>
  <c r="E16" i="9"/>
  <c r="E14" i="9"/>
  <c r="E11" i="9"/>
  <c r="F12" i="5"/>
  <c r="D12" i="5"/>
  <c r="F11" i="5"/>
  <c r="D11" i="5"/>
  <c r="F10" i="5"/>
  <c r="D10" i="5"/>
  <c r="F9" i="5"/>
  <c r="D9" i="5"/>
  <c r="F8" i="5"/>
  <c r="D8" i="5"/>
  <c r="D7" i="5"/>
</calcChain>
</file>

<file path=xl/sharedStrings.xml><?xml version="1.0" encoding="utf-8"?>
<sst xmlns="http://schemas.openxmlformats.org/spreadsheetml/2006/main" count="627" uniqueCount="460">
  <si>
    <t>Velocity</t>
  </si>
  <si>
    <t>Defect Density</t>
  </si>
  <si>
    <t>Team Happiness</t>
  </si>
  <si>
    <t>Target</t>
  </si>
  <si>
    <t>Month</t>
  </si>
  <si>
    <t>Metric</t>
  </si>
  <si>
    <t>Lead Time (days)</t>
  </si>
  <si>
    <t>Status</t>
  </si>
  <si>
    <t>Happiness</t>
  </si>
  <si>
    <t>Collaboration</t>
  </si>
  <si>
    <t>CHỈ SỐ VỀ SẢN PHẨM (PRODUCT METRICS)</t>
  </si>
  <si>
    <t>Chỉ số</t>
  </si>
  <si>
    <t>Định nghĩa</t>
  </si>
  <si>
    <t>Công thức/Cách tính</t>
  </si>
  <si>
    <t>Mục tiêu</t>
  </si>
  <si>
    <t>Xuất sắc</t>
  </si>
  <si>
    <t>Tốt</t>
  </si>
  <si>
    <t>Cần cải thiện</t>
  </si>
  <si>
    <t>Ghi chú</t>
  </si>
  <si>
    <t>A. CHẤT LƯỢNG SẢN PHẨM</t>
  </si>
  <si>
    <t>Đo lường chất lượng code từ development</t>
  </si>
  <si>
    <t>Bug Escape Rate</t>
  </si>
  <si>
    <t>&lt; 5%</t>
  </si>
  <si>
    <t>Hiệu quả của testing trước release</t>
  </si>
  <si>
    <t>Technical Debt Ratio</t>
  </si>
  <si>
    <t>A-rated trong SonarQube</t>
  </si>
  <si>
    <t>Code Coverage</t>
  </si>
  <si>
    <t>&gt; 80%</t>
  </si>
  <si>
    <t>&gt; 90%</t>
  </si>
  <si>
    <t>80-90%</t>
  </si>
  <si>
    <t>&lt; 80%</t>
  </si>
  <si>
    <t>B. GIÁ TRỊ KINH DOANH</t>
  </si>
  <si>
    <t>Feature Adoption Rate</t>
  </si>
  <si>
    <t>&gt; 30% sau 30 ngày</t>
  </si>
  <si>
    <t>&gt; 50%</t>
  </si>
  <si>
    <t>30-50%</t>
  </si>
  <si>
    <t>&lt; 30%</t>
  </si>
  <si>
    <t>Đo sau 30 ngày release</t>
  </si>
  <si>
    <t>Customer Satisfaction (CSAT)</t>
  </si>
  <si>
    <t>&gt; 4.0/5.0</t>
  </si>
  <si>
    <t>&gt; 4.5/5.0</t>
  </si>
  <si>
    <t>4.0-4.5/5.0</t>
  </si>
  <si>
    <t>&lt; 4.0/5.0</t>
  </si>
  <si>
    <t>Business Value Delivered</t>
  </si>
  <si>
    <t>&gt; 60% total SP</t>
  </si>
  <si>
    <t>&gt; 75%</t>
  </si>
  <si>
    <t>60-75%</t>
  </si>
  <si>
    <t>&lt; 60%</t>
  </si>
  <si>
    <t>Focus vào high-impact features</t>
  </si>
  <si>
    <t>Time to Market</t>
  </si>
  <si>
    <t>Thời gian từ ý tưởng đến release</t>
  </si>
  <si>
    <t>&lt; 8 tuần</t>
  </si>
  <si>
    <t>&lt; 6 tuần</t>
  </si>
  <si>
    <t>6-8 tuần</t>
  </si>
  <si>
    <t>&gt; 8 tuần</t>
  </si>
  <si>
    <t>CHỈ SỐ VỀ TEAM (TEAM PERFORMANCE METRICS)</t>
  </si>
  <si>
    <t>A. HIỆU SUẤT LÀM VIỆC</t>
  </si>
  <si>
    <t>Stable ±10%</t>
  </si>
  <si>
    <t>Stable ±5%</t>
  </si>
  <si>
    <t>Fluctuate &gt;10%</t>
  </si>
  <si>
    <t>Sprint Goal Success Rate</t>
  </si>
  <si>
    <t>Đo trong 3 tháng gần nhất</t>
  </si>
  <si>
    <t>Commitment Reliability</t>
  </si>
  <si>
    <t>&gt; 85%</t>
  </si>
  <si>
    <t>&gt; 95%</t>
  </si>
  <si>
    <t>85-95%</t>
  </si>
  <si>
    <t>&lt; 85%</t>
  </si>
  <si>
    <t>Cycle Time</t>
  </si>
  <si>
    <t>Thời gian từ start đến done</t>
  </si>
  <si>
    <t>&lt; 3 ngày</t>
  </si>
  <si>
    <t>&lt; 2 ngày</t>
  </si>
  <si>
    <t>2-3 ngày</t>
  </si>
  <si>
    <t>&gt; 3 ngày</t>
  </si>
  <si>
    <t>Cho các task thông thường</t>
  </si>
  <si>
    <t>Lead Time</t>
  </si>
  <si>
    <t>Thời gian từ tạo yêu cầu đến production</t>
  </si>
  <si>
    <t>&lt; 2 tuần</t>
  </si>
  <si>
    <t>&lt; 1 tuần</t>
  </si>
  <si>
    <t>1-2 tuần</t>
  </si>
  <si>
    <t>&gt; 2 tuần</t>
  </si>
  <si>
    <t>End-to-end delivery time</t>
  </si>
  <si>
    <t>B. CHẤT LƯỢNG QUY TRÌNH</t>
  </si>
  <si>
    <t>Sprint Burndown Trend</t>
  </si>
  <si>
    <t>Xu hướng hoàn thành công việc</t>
  </si>
  <si>
    <t>Smooth decline</t>
  </si>
  <si>
    <t>Ideal line</t>
  </si>
  <si>
    <t>Slight deviation</t>
  </si>
  <si>
    <t>Erratic/flat</t>
  </si>
  <si>
    <t>Đánh giá tính predictable</t>
  </si>
  <si>
    <t>Work Item Age</t>
  </si>
  <si>
    <t>&lt; 5 ngày</t>
  </si>
  <si>
    <t>3-5 ngày</t>
  </si>
  <si>
    <t>&gt; 5 ngày</t>
  </si>
  <si>
    <t>Blocked Items %</t>
  </si>
  <si>
    <t>Tỷ lệ items bị block</t>
  </si>
  <si>
    <t>&lt; 10%</t>
  </si>
  <si>
    <t>5-10%</t>
  </si>
  <si>
    <t>&gt; 10%</t>
  </si>
  <si>
    <t>Impediments cần giải quyết</t>
  </si>
  <si>
    <t>Avg Block Duration</t>
  </si>
  <si>
    <t>Thời gian trung bình bị block</t>
  </si>
  <si>
    <t>&lt; 1 ngày</t>
  </si>
  <si>
    <t>&lt; 0.5 ngày</t>
  </si>
  <si>
    <t>0.5-1 ngày</t>
  </si>
  <si>
    <t>&gt; 1 ngày</t>
  </si>
  <si>
    <t>Tốc độ resolve blockers</t>
  </si>
  <si>
    <t>Deployment Frequency</t>
  </si>
  <si>
    <t>≥ 2 lần/tuần</t>
  </si>
  <si>
    <t>Daily</t>
  </si>
  <si>
    <t>2-3 lần/tuần</t>
  </si>
  <si>
    <t>&lt; 2 lần/tuần</t>
  </si>
  <si>
    <t>DORA metric - Elite: Daily</t>
  </si>
  <si>
    <t>Change Failure Rate</t>
  </si>
  <si>
    <t>Tỷ lệ deploy gây lỗi</t>
  </si>
  <si>
    <t>&lt; 15%</t>
  </si>
  <si>
    <t>5-15%</t>
  </si>
  <si>
    <t>&gt; 15%</t>
  </si>
  <si>
    <t>DORA metric - Elite: 0-15%</t>
  </si>
  <si>
    <t>C. HEALTH TEAM</t>
  </si>
  <si>
    <t>Team Happiness Index</t>
  </si>
  <si>
    <t>Chỉ số hài lòng của team</t>
  </si>
  <si>
    <t>Survey hàng tháng/quý</t>
  </si>
  <si>
    <t>Retro Action Completion</t>
  </si>
  <si>
    <t>Hoàn thành action items từ retro</t>
  </si>
  <si>
    <t>Track trong sprint tiếp theo</t>
  </si>
  <si>
    <t>Meeting Effectiveness</t>
  </si>
  <si>
    <t>Hiệu quả các ceremonies</t>
  </si>
  <si>
    <t>Quick feedback sau ceremonies</t>
  </si>
  <si>
    <t>Team Stability</t>
  </si>
  <si>
    <t>Tính ổn định thành viên</t>
  </si>
  <si>
    <t>90-95%</t>
  </si>
  <si>
    <t>&lt; 90%</t>
  </si>
  <si>
    <t>Đo trong 6-12 tháng</t>
  </si>
  <si>
    <t>Collaboration Index</t>
  </si>
  <si>
    <t>Mức độ collaboration</t>
  </si>
  <si>
    <t>&gt; 15 sessions</t>
  </si>
  <si>
    <t>&gt; 20 sessions</t>
  </si>
  <si>
    <t>15-20 sessions</t>
  </si>
  <si>
    <t>&lt; 15 sessions</t>
  </si>
  <si>
    <t>Khuyến khích pair &amp; review</t>
  </si>
  <si>
    <t>CẤU TRÚC BÁO CÁO THEO THỜI GIAN</t>
  </si>
  <si>
    <t>Loại báo cáo</t>
  </si>
  <si>
    <t>Tần suất</t>
  </si>
  <si>
    <t>Nội dung chính</t>
  </si>
  <si>
    <t>Metrics ưu tiên</t>
  </si>
  <si>
    <t>Người nhận</t>
  </si>
  <si>
    <t>SPRINT REPORT</t>
  </si>
  <si>
    <t>Mỗi sprint (2 tuần)</t>
  </si>
  <si>
    <t>• Sprint Goal achieved?
• Velocity &amp; Throughput
• Sprint Burndown
• Completed stories
• Key impediments
• Lessons learned</t>
  </si>
  <si>
    <t>• Sprint Goal Success
• Velocity
• Commitment Reliability
• Blocked Items
• Bug Escape Rate</t>
  </si>
  <si>
    <t>• Team members
• Scrum Master
• Product Owner
• Direct Manager</t>
  </si>
  <si>
    <t>Report ngay sau Sprint Review</t>
  </si>
  <si>
    <t>MONTHLY REPORT</t>
  </si>
  <si>
    <t>Hàng tháng</t>
  </si>
  <si>
    <t>• Tổng hợp 2 sprints
• Trend analysis
• Team happiness
• Deployment frequency
• Quality metrics
• Retro actions status</t>
  </si>
  <si>
    <t>• Velocity trend (2 sprints)
• Defect Density
• MTTR
• Team Happiness
• Change Failure Rate
• Feature Adoption (nếu có release)</t>
  </si>
  <si>
    <t>• Team
• Product Owner
• Engineering Manager
• Stakeholders</t>
  </si>
  <si>
    <t>Focus vào trends &amp; patterns</t>
  </si>
  <si>
    <t>QUARTERLY REPORT (3-6 THÁNG)</t>
  </si>
  <si>
    <t>Mỗi quý</t>
  </si>
  <si>
    <t>• Performance trends (6 sprints)
• Quality improvements
• Team health
• Business value delivered
• Process improvements
• Technical debt status</t>
  </si>
  <si>
    <t>TẤT CẢ metrics trong:
• Product Metrics (Sheet 1)
• Team Metrics (Sheet 2)
Phân tích xu hướng &amp; so sánh quý trước</t>
  </si>
  <si>
    <t>• Team
• Product Owner
• Engineering Manager
• Department Head
• Executive team</t>
  </si>
  <si>
    <t>Deep dive analysis với visualizations</t>
  </si>
  <si>
    <t>ANNUAL REPORT</t>
  </si>
  <si>
    <t>Cuối năm</t>
  </si>
  <si>
    <t>• Year-over-year comparison
• Major achievements
• All metrics summary
• Team growth
• ROI analysis
• Strategic recommendations
• Next year OKRs</t>
  </si>
  <si>
    <t>TẤT CẢ metrics + bổ sung:
• Annual throughput
• Cost efficiency
• Innovation metrics
• Team growth
• Customer satisfaction trends
• Business impact</t>
  </si>
  <si>
    <t>• Toàn bộ organization
• Executive team
• HR
• Finance
• C-level</t>
  </si>
  <si>
    <t>Comprehensive report với executive summary</t>
  </si>
  <si>
    <t>MẪU BÁO CÁO SPRINT</t>
  </si>
  <si>
    <t>Sprint #:</t>
  </si>
  <si>
    <t>Sprint 24</t>
  </si>
  <si>
    <t>Sprint Period:</t>
  </si>
  <si>
    <t>01/12/2025 - 15/12/2025</t>
  </si>
  <si>
    <t>I. SPRINT OVERVIEW</t>
  </si>
  <si>
    <t>Actual</t>
  </si>
  <si>
    <t>Previous Sprint</t>
  </si>
  <si>
    <t>Trend</t>
  </si>
  <si>
    <t>Note</t>
  </si>
  <si>
    <t>Sprint Goal Achieved</t>
  </si>
  <si>
    <t>Yes</t>
  </si>
  <si>
    <t>-</t>
  </si>
  <si>
    <t>Velocity (SP)</t>
  </si>
  <si>
    <t>Stories Completed</t>
  </si>
  <si>
    <t>Bugs Found</t>
  </si>
  <si>
    <t>Deployment Count</t>
  </si>
  <si>
    <t>II. COMPLETED WORK ITEMS</t>
  </si>
  <si>
    <t>Story ID</t>
  </si>
  <si>
    <t>Title</t>
  </si>
  <si>
    <t>Story Points</t>
  </si>
  <si>
    <t>Assignee</t>
  </si>
  <si>
    <t>Completion Date</t>
  </si>
  <si>
    <t>Business Value</t>
  </si>
  <si>
    <t>Notes</t>
  </si>
  <si>
    <t>US-1234</t>
  </si>
  <si>
    <t>User login with OAuth2</t>
  </si>
  <si>
    <t>Nguyen Van A</t>
  </si>
  <si>
    <t>05/12/2025</t>
  </si>
  <si>
    <t>High</t>
  </si>
  <si>
    <t>Completed ahead of schedule</t>
  </si>
  <si>
    <t>US-1235</t>
  </si>
  <si>
    <t>Dashboard performance optimization</t>
  </si>
  <si>
    <t>Tran Thi B</t>
  </si>
  <si>
    <t>08/12/2025</t>
  </si>
  <si>
    <t>Reduced load time by 40%</t>
  </si>
  <si>
    <t>US-1236</t>
  </si>
  <si>
    <t>Export report to Excel</t>
  </si>
  <si>
    <t>Le Van C</t>
  </si>
  <si>
    <t>10/12/2025</t>
  </si>
  <si>
    <t>Medium</t>
  </si>
  <si>
    <t>All formats supported</t>
  </si>
  <si>
    <t>US-1237</t>
  </si>
  <si>
    <t>Email notification system</t>
  </si>
  <si>
    <t>Pham Thi D</t>
  </si>
  <si>
    <t>12/12/2025</t>
  </si>
  <si>
    <t>Integrated with SendGrid</t>
  </si>
  <si>
    <t>BUG-567</t>
  </si>
  <si>
    <t>Fix payment gateway timeout</t>
  </si>
  <si>
    <t>07/12/2025</t>
  </si>
  <si>
    <t>Critical</t>
  </si>
  <si>
    <t>Hotfix deployed</t>
  </si>
  <si>
    <t>III. IMPEDIMENTS &amp; BLOCKERS</t>
  </si>
  <si>
    <t>Issue</t>
  </si>
  <si>
    <t>Impact</t>
  </si>
  <si>
    <t>Owner</t>
  </si>
  <si>
    <t>Resolution Date</t>
  </si>
  <si>
    <t>Actions Taken</t>
  </si>
  <si>
    <t>Prevention</t>
  </si>
  <si>
    <t>API dependency not ready</t>
  </si>
  <si>
    <t>Backend Team</t>
  </si>
  <si>
    <t>Resolved</t>
  </si>
  <si>
    <t>03/12/2025</t>
  </si>
  <si>
    <t>Used mock data temporarily</t>
  </si>
  <si>
    <t>Better coordination with backend team</t>
  </si>
  <si>
    <t>Database migration issue</t>
  </si>
  <si>
    <t>DevOps Team</t>
  </si>
  <si>
    <t>06/12/2025</t>
  </si>
  <si>
    <t>Rollback and re-apply migration</t>
  </si>
  <si>
    <t>Test migrations in staging first</t>
  </si>
  <si>
    <t>Unclear requirements for feature X</t>
  </si>
  <si>
    <t>Category</t>
  </si>
  <si>
    <t>What went well</t>
  </si>
  <si>
    <t>What to improve</t>
  </si>
  <si>
    <t>Action Items</t>
  </si>
  <si>
    <t>Due Date</t>
  </si>
  <si>
    <t>Process</t>
  </si>
  <si>
    <t>Daily standups were focused and efficient</t>
  </si>
  <si>
    <t>Code review taking too long (&gt;1 day)</t>
  </si>
  <si>
    <t>Set 4-hour SLA for code reviews</t>
  </si>
  <si>
    <t>20/12/2025</t>
  </si>
  <si>
    <t>In Progress</t>
  </si>
  <si>
    <t>Technical</t>
  </si>
  <si>
    <t>New testing framework improved coverage</t>
  </si>
  <si>
    <t>Technical debt increasing</t>
  </si>
  <si>
    <t>Allocate 20% sprint capacity for refactoring</t>
  </si>
  <si>
    <t>01/01/2026</t>
  </si>
  <si>
    <t>Planned</t>
  </si>
  <si>
    <t>Pair programming helped knowledge sharing</t>
  </si>
  <si>
    <t>Communication with QA team needs improvement</t>
  </si>
  <si>
    <t>Weekly sync with QA team</t>
  </si>
  <si>
    <t>18/12/2025</t>
  </si>
  <si>
    <t>Done</t>
  </si>
  <si>
    <t>Tools</t>
  </si>
  <si>
    <t>CI/CD pipeline stable</t>
  </si>
  <si>
    <t>Need better monitoring tools</t>
  </si>
  <si>
    <t>Evaluate Datadog and New Relic</t>
  </si>
  <si>
    <t>15/01/2026</t>
  </si>
  <si>
    <t>Technical Debt</t>
  </si>
  <si>
    <t>Sprint Goal Success</t>
  </si>
  <si>
    <t>Feature Adoption</t>
  </si>
  <si>
    <t>Customer Satisfaction</t>
  </si>
  <si>
    <t>✓</t>
  </si>
  <si>
    <t>↗</t>
  </si>
  <si>
    <t>100%</t>
  </si>
  <si>
    <t>&gt;80%</t>
  </si>
  <si>
    <t>92%</t>
  </si>
  <si>
    <t>&lt;2</t>
  </si>
  <si>
    <t>↘</t>
  </si>
  <si>
    <t>6%</t>
  </si>
  <si>
    <t>5%</t>
  </si>
  <si>
    <t>&lt;5%</t>
  </si>
  <si>
    <t>MTTR (hours)</t>
  </si>
  <si>
    <t>&lt;4</t>
  </si>
  <si>
    <t>&gt;=2</t>
  </si>
  <si>
    <t>12%</t>
  </si>
  <si>
    <t>8%</t>
  </si>
  <si>
    <t>10%</t>
  </si>
  <si>
    <t>&lt;15%</t>
  </si>
  <si>
    <t>&gt;4.0</t>
  </si>
  <si>
    <t>BÁO CÁO QUÝ 4/2025 (OCTOBER - DECEMBER)</t>
  </si>
  <si>
    <t>QUARTER OVERVIEW</t>
  </si>
  <si>
    <t>Total Sprints:</t>
  </si>
  <si>
    <t>6</t>
  </si>
  <si>
    <t>Sprint Goals Achieved:</t>
  </si>
  <si>
    <t>5/6 (83%)</t>
  </si>
  <si>
    <t>Overall Status:</t>
  </si>
  <si>
    <t>✓ On Track</t>
  </si>
  <si>
    <t>Total Story Points:</t>
  </si>
  <si>
    <t>258</t>
  </si>
  <si>
    <t>Features Released:</t>
  </si>
  <si>
    <t>12</t>
  </si>
  <si>
    <t>Production Deploys:</t>
  </si>
  <si>
    <t>18</t>
  </si>
  <si>
    <t>Avg Velocity:</t>
  </si>
  <si>
    <t>43 SP/sprint</t>
  </si>
  <si>
    <t>Bugs Fixed:</t>
  </si>
  <si>
    <t>47</t>
  </si>
  <si>
    <t>Zero-downtime deploys:</t>
  </si>
  <si>
    <t>18/18 (100%)</t>
  </si>
  <si>
    <t>METRICS TREND ANALYSIS (6 SPRINTS)</t>
  </si>
  <si>
    <t>Oct (Avg)</t>
  </si>
  <si>
    <t>Nov (Avg)</t>
  </si>
  <si>
    <t>Dec (Avg)</t>
  </si>
  <si>
    <t>Q4 Avg</t>
  </si>
  <si>
    <t>Achievement</t>
  </si>
  <si>
    <t>Grade</t>
  </si>
  <si>
    <t>94%</t>
  </si>
  <si>
    <t>B+</t>
  </si>
  <si>
    <t>50%</t>
  </si>
  <si>
    <t>83%</t>
  </si>
  <si>
    <t>80%</t>
  </si>
  <si>
    <t>104%</t>
  </si>
  <si>
    <t>A</t>
  </si>
  <si>
    <t>85%</t>
  </si>
  <si>
    <t>90%</t>
  </si>
  <si>
    <t>89%</t>
  </si>
  <si>
    <t>105%</t>
  </si>
  <si>
    <t>Needs Work</t>
  </si>
  <si>
    <t>4.5%</t>
  </si>
  <si>
    <t>3.8%</t>
  </si>
  <si>
    <t>3.5%</t>
  </si>
  <si>
    <t>3.9%</t>
  </si>
  <si>
    <t>A-</t>
  </si>
  <si>
    <t>75%</t>
  </si>
  <si>
    <t>78%</t>
  </si>
  <si>
    <t>82%</t>
  </si>
  <si>
    <t>98%</t>
  </si>
  <si>
    <t>Deployment Freq (/week)</t>
  </si>
  <si>
    <t>18%</t>
  </si>
  <si>
    <t>13.3%</t>
  </si>
  <si>
    <t>&lt;14</t>
  </si>
  <si>
    <t>28%</t>
  </si>
  <si>
    <t>35%</t>
  </si>
  <si>
    <t>42%</t>
  </si>
  <si>
    <t>&gt;30%</t>
  </si>
  <si>
    <t>KEY HIGHLIGHTS &amp; ACHIEVEMENTS</t>
  </si>
  <si>
    <t>🎯 Product Delivery</t>
  </si>
  <si>
    <t>• Released 12 major features including OAuth2, payment integration, and mobile app beta
• Achieved 83% sprint goal success rate (target: 80%)
• Delivered 258 story points across 6 sprints</t>
  </si>
  <si>
    <t>📈 Quality Improvement</t>
  </si>
  <si>
    <t>• Reduced defect density by 25% (1.8 → 1.35)
• Improved code coverage from 75% to 82%
• MTTR decreased by 25% (4.2h → 3.15h)</t>
  </si>
  <si>
    <t>🚀 Process Excellence</t>
  </si>
  <si>
    <t>• Increased deployment frequency by 67% (1.5 → 2.5 per week)
• Change failure rate reduced to 10% (from 18%)
• Lead time improved by 29% (14 → 10 days)</t>
  </si>
  <si>
    <t>👥 Team Growth</t>
  </si>
  <si>
    <t>• Team happiness increased from 3.7 to 4.05
• Zero team turnover this quarter
• Completed 15+ training sessions</t>
  </si>
  <si>
    <t>💼 Business Impact</t>
  </si>
  <si>
    <t>• Feature adoption rate grew to 42% (target: 30%)
• Customer satisfaction: 4.25/5.0
• Reduced customer support tickets by 20%</t>
  </si>
  <si>
    <t>STRATEGIC RECOMMENDATIONS FOR Q1 2026</t>
  </si>
  <si>
    <t>1. Technical Excellence</t>
  </si>
  <si>
    <t>• Target: Reduce technical debt to &lt;3%
• Implement automated performance testing
• Achieve 85%+ code coverage</t>
  </si>
  <si>
    <t>2. Delivery Speed</t>
  </si>
  <si>
    <t>• Increase velocity to 48 SP/sprint
• Achieve daily deployments
• Reduce lead time to &lt;7 days</t>
  </si>
  <si>
    <t>3. Team Development</t>
  </si>
  <si>
    <t>• Launch microservices training program
• Implement knowledge sharing sessions
• Maintain team happiness &gt;4.2</t>
  </si>
  <si>
    <t>4. Customer Focus</t>
  </si>
  <si>
    <t>• Target 50%+ feature adoption rate
• Launch customer feedback program
• Reduce support tickets by additional 15%</t>
  </si>
  <si>
    <t>October</t>
  </si>
  <si>
    <t>November</t>
  </si>
  <si>
    <t>December</t>
  </si>
  <si>
    <t>avg(unblocked date - blocked date)</t>
  </si>
  <si>
    <t>Defect Density = Tổng số lỗi / 1000 dòng code
hoặc
Defect Density = Tổng số lỗi / Tổng Story Points đã hoàn thành
Ví dụ: 15 lỗi / 50 story points = 0.3 lỗi/SP</t>
  </si>
  <si>
    <t>Bug Escape Rate = (Số lỗi phát hiện ở Production / Tổng số lỗi) × 100%
Tổng số lỗi = Lỗi phát hiện trong Dev + Test + UAT + Production
Ví dụ: 5 lỗi production / 25 tổng lỗi = 20%</t>
  </si>
  <si>
    <t>MTTR = Tổng thời gian sửa tất cả lỗi / Số lượng lỗi đã sửa
Ví dụ: 120 giờ / 15 lỗi = 8 giờ/lỗi
Tính theo mức độ nghiêm trọng:
- MTTR Critical = Tổng giờ sửa lỗi Critical / Số lỗi Critical
- MTTR High = Tổng giờ sửa lỗi High / Số lỗi High</t>
  </si>
  <si>
    <t>Technical Debt Ratio = (Chi phí khắc phục nợ kỹ thuật / Chi phí phát triển) × 100%
Theo SonarQube:
Technical Debt Ratio = (Remediation Cost / Development Cost) × 100%
Ví dụ: 40 ngày khắc phục / 200 ngày phát triển = 20%</t>
  </si>
  <si>
    <t>CSAT = (Số phản hồi tích cực / Tổng số phản hồi) × 100%
NPS = % Promoters (9-10) - % Detractors (0-6)
Ví dụ: 
- CSAT: 85 hài lòng / 100 phản hồi = 85%
- NPS: 60% promoters - 15% detractors = 45</t>
  </si>
  <si>
    <t>Business Value Delivered = Σ (Story Points × Business Value Score)
Trong đó Business Value Score: 1-10 hoặc Low/Medium/High (1/5/10)
Ví dụ Sprint:
- Story A: 5 SP × 10 (High) = 50
- Story B: 8 SP × 5 (Medium) = 40
- Story C: 3 SP × 1 (Low) = 3
Total = 93 business value points</t>
  </si>
  <si>
    <t>Time to Market = Ngày Release - Ngày bắt đầu Idea/Request
Tính bằng ngày làm việc hoặc calendar days
Ví dụ: Release 15/01/2026 - Idea 01/11/2025 = 75 ngày</t>
  </si>
  <si>
    <t>Velocity = Tổng Story Points hoàn thành trong Sprint
Average Velocity = Σ Story Points (n sprints) / n
Ví dụ 3 sprints gần nhất:
Sprint 1: 42 SP
Sprint 2: 38 SP  
Sprint 3: 45 SP
Average Velocity = (42 + 38 + 45) / 3 = 41.67 SP/sprint</t>
  </si>
  <si>
    <t>Sprint Goal Success Rate = (Số sprint đạt goal / Tổng số sprint) × 100%
Tính theo quý hoặc 6 sprints gần nhất
Ví dụ: 5 sprint đạt goal / 6 tổng sprint = 83.3%</t>
  </si>
  <si>
    <t>Cycle Time = Ngày Done - Ngày In Progress (bắt đầu làm)
Average Cycle Time = Σ Cycle Time của tất cả items / Số lượng items
Ví dụ:
- Story A: 5 ngày
- Story B: 3 ngày
- Story C: 7 ngày
Average = (5 + 3 + 7) / 3 = 5 ngày</t>
  </si>
  <si>
    <t>Lead Time = Ngày Deploy Production - Ngày tạo Request/Backlog Item
Average Lead Time = Σ Lead Time / Số items
Ví dụ: Deploy 20/01 - Created 05/01 = 15 ngày</t>
  </si>
  <si>
    <t>Remaining Work = Story Points còn lại mỗi ngày
Ideal Burndown = Total SP / Số ngày sprint
Ngày 1: 42 SP
Ngày 2: 38 SP
...
Ngày 10: 0 SP
Lý tưởng mỗi ngày giảm: 42/10 = 4.2 SP/ngày</t>
  </si>
  <si>
    <t>Work Item Age = Ngày hiện tại - Ngày tạo item (cho items đang open)
Average Age = Σ Age của tất cả open items / Số open items
Ví dụ:
- Item 1: 15 ngày
- Item 2: 3 ngày
- Item 3: 8 ngày
Average Age = (15 + 3 + 8) / 3 = 8.67 ngày</t>
  </si>
  <si>
    <t>Số Blocked Items = Tổng số items có status "Blocked"
Blocked Time = Σ (Ngày unblock - Ngày bị block)
Average Blocked Time = Tổng Blocked Time / Số items bị block
Blocked Rate = (Số items bị block / Tổng items) × 100%
Ví dụ: 3 items blocked / 25 tổng items = 12%</t>
  </si>
  <si>
    <t>Deployment Frequency = Số lần deploy / Khoảng thời gian
Theo ngày: Số deploys / Số ngày
Theo sprint: Số deploys trong sprint
Theo tháng: Số deploys / tháng
Ví dụ: 12 deploys / 10 ngày sprint = 1.2 deploys/ngày</t>
  </si>
  <si>
    <t>Change Failure Rate = (Số deploys gây lỗi / Tổng số deploys) × 100%
Deploy gây lỗi = Deploy cần rollback hoặc hotfix ngay sau đó
Ví dụ: 2 deploys lỗi / 15 tổng deploys = 13.3%</t>
  </si>
  <si>
    <t>Team Happiness Index = Σ Điểm của members / Số members
Thang điểm 1-5 hoặc 1-10
Ví dụ với 6 members (thang 1-5):
4 + 5 + 3 + 4 + 5 + 4 = 25
Average = 25 / 6 = 4.17
Hoặc phân tích:
- % Very Happy (5): 33%
- % Happy (4): 50%
- % Neutral (3): 17%</t>
  </si>
  <si>
    <t>Retro Action Completion Rate = (Action items hoàn thành / Tổng action items) × 100%
Theo sprint hoặc tích lũy nhiều sprints
Ví dụ:
Sprint 1: 4/5 = 80%
Sprint 2: 3/4 = 75%
Sprint 3: 5/6 = 83%
Average = (80 + 75 + 83) / 3 = 79.3%</t>
  </si>
  <si>
    <t>Meeting Effectiveness = Σ Điểm đánh giá / (Số participants × Số meetings)
Khảo sát sau mỗi ceremony (thang 1-5):
- Daily standup có hiệu quả không?
- Sprint Planning rõ ràng không?
- Retro có giá trị không?
Ví dụ: 45 điểm tổng / (6 members × 2 meetings) = 3.75/5</t>
  </si>
  <si>
    <t>Team Stability = (1 - Tỷ lệ thay đổi members) × 100%
Tỷ lệ thay đổi = (Số người vào + ra) / (2 × Tổng số members)
Ví dụ trong quý:
Team size: 8 người
Rời đi: 1 người
Vào mới: 1 người
Thay đổi = (1 + 1) / (2 × 8) = 2/16 = 12.5%
Stability = (1 - 0.125) × 100% = 87.5%</t>
  </si>
  <si>
    <t>Collaboration Index = Σ (Pair programming sessions + Code reviews + Knowledge sharing)
Ví dụ mỗi sprint:
- Pair programming: 15 sessions
- Code reviews: 25 PRs reviewed
- Knowledge sharing: 3 sessions
Total = 43 collaboration activities
Hoặc tính theo member:
= Tổng activities / Số members
= 43 / 6 = 7.17 activities/person/sprint</t>
  </si>
  <si>
    <t>Số lượng lỗi phần mềm được phát hiện trên mỗi đơn vị đo lường (1000 dòng code hoặc story point). Đây là chỉ số đo lường chất lượng code và quy trình phát triển.</t>
  </si>
  <si>
    <t>Mục tiêu
(Acceptable)</t>
  </si>
  <si>
    <t>Xuất sắc
(Excellent)</t>
  </si>
  <si>
    <t>Tốt
(Good)</t>
  </si>
  <si>
    <t>Cần cải thiện
(Needs Improvement)</t>
  </si>
  <si>
    <t>&gt; 0.5 lỗi/SP hoặc &gt; 5 lỗi/1000 LOC</t>
  </si>
  <si>
    <t>0.3 - 0.5 lỗi/SP hoặc 3-5 lỗi/1000 LOC</t>
  </si>
  <si>
    <t>&lt; 0.1 lỗi/SP hoặc &lt; 1 lỗi/1000 LOC</t>
  </si>
  <si>
    <t>0.1 - 0.3 lỗi/SP hoặc 1-3 lỗi/1000 LOC</t>
  </si>
  <si>
    <t>Tỷ lệ phần trăm lỗi được phát hiện ở môi trường production so với tổng số lỗi được phát hiện trong toàn bộ vòng đời phát triển. Đây là chỉ số quan trọng đo lường hiệu quả của quy trình testing và Staging.</t>
  </si>
  <si>
    <t>10-15%</t>
  </si>
  <si>
    <t>&gt;15%</t>
  </si>
  <si>
    <t>Thời gian trung bình từ khi phát hiện lỗi đến khi lỗi được fix và verify hoàn toàn. Đây là chỉ số đo lường khả năng phản ứng và giải quyết vấn đề của team.</t>
  </si>
  <si>
    <t>Mean Time to Resolution (MTTR)- Thời gian trung bình sửa lỗi production</t>
  </si>
  <si>
    <t>&lt; 4 giờ
Critical Bugs: &lt; 4 giờ</t>
  </si>
  <si>
    <t>&lt; 2 giờ
High Priority: &lt; 24 giờ (1 ngày)</t>
  </si>
  <si>
    <t>2-4 giờ
Medium Priority: &lt; 3 ngày</t>
  </si>
  <si>
    <t>&gt; 4 giờ
Low Priority: &lt; 1 tuần</t>
  </si>
  <si>
    <t xml:space="preserve">
Tỷ lệ phần trăm thời gian/chi phí cần thiết để khắc phục các vấn đề kỹ thuật tích lũy (code smell, duplications, security vulnerabilities) so với tổng thời gian phát triển. Đo lường "nợ" mà team đang gánh.</t>
  </si>
  <si>
    <t>10% - 20%</t>
  </si>
  <si>
    <t>5% - 10%</t>
  </si>
  <si>
    <t>20% - 50%</t>
  </si>
  <si>
    <t>CSAT: Đo lường mức độ hài lòng của khách hàng với sản phẩm/dịch vụ cụ thể
NPS (Net Promoter Score): Đo lường khả năng khách hàng giới thiệu sản phẩm cho người khác</t>
  </si>
  <si>
    <t>Khảo sát định kỳ sau release
Dựa vào tiêu chí khảo sát để xác định mục tiêu</t>
  </si>
  <si>
    <t>Tổng giá trị kinh doanh được giao trong một khoảng thời gian, được tính bằng cách kết hợp story points với business value score của mỗi user story. Đo lường team có focus vào đúng priority không.</t>
  </si>
  <si>
    <t>Số story points mà team hoàn thành (đạt Definition of Done) trong một sprint. Đây là chỉ số đo lường capacity và productivity của team. Velocity chỉ dùng để planning, không dùng để so sánh giữa các teams.</t>
  </si>
  <si>
    <t>Track xu hướng 3-6 sprints
Stability: Variance &lt; 15% (predictable team)
Growth: Velocity tăng dần 5-10% trong 3-6 tháng (learning curve)
Sustainable: Velocity stable trong dài hạn (không burnout)
Không có mục tiêu số tuyệt đối vì:
Story points là relative, khác nhau giữa các teams
Team size khác nhau
Complexity của work khác nhau</t>
  </si>
  <si>
    <t>Tỷ lệ phần trăm các sprints mà team đạt được Sprint Goal đã cam kết. Sprint Goal là objective business-focused, không chỉ là list of stories. Đo lường khả năng deliver value và predictability của team.</t>
  </si>
  <si>
    <r>
      <t xml:space="preserve">Khả năng estimation &amp; planning
</t>
    </r>
    <r>
      <rPr>
        <b/>
        <sz val="10"/>
        <rFont val="Cambria"/>
        <family val="1"/>
      </rPr>
      <t xml:space="preserve"> Đổi lại tỉ lệ commit release</t>
    </r>
  </si>
  <si>
    <t>Số ngày mà một work item đã tồn tại trong trạng thái "in progress" hoặc "open" tính đến thời điểm hiện tại. Đo lường items có bị "stuck" hay không, và flow health.</t>
  </si>
  <si>
    <r>
      <rPr>
        <b/>
        <sz val="10"/>
        <rFont val="Cambria"/>
        <family val="1"/>
      </rPr>
      <t>Tần suất deploy production</t>
    </r>
    <r>
      <rPr>
        <sz val="10"/>
        <rFont val="Cambria"/>
        <family val="1"/>
      </rPr>
      <t xml:space="preserve">
Số lần team deploy code lên production trong một khoảng thời gian. Đây là một trong 4 key metrics của DORA (DevOps Research and Assessment). High deployment frequency là dấu hiệu của mature DevOps practice.</t>
    </r>
  </si>
  <si>
    <t>Khả năng phản ứng với incidents
DORA metric: &lt; 1 giờ</t>
  </si>
  <si>
    <t>Lead Time for Changes (LT)</t>
  </si>
  <si>
    <t>Thời gian từ khi developer commit code vào version control (Git) cho đến khi commit đó được deploy thành công lên production environment và available cho end users.</t>
  </si>
  <si>
    <t>Lead Time for Changes = Deploy Time - Commit Time
Hoặc chi tiết hơn:
Lead Time for Changes = 
    CI/CD Pipeline Time +
    Code Review Time +
    Testing Time +
    Approval Time +
    Deployment Time +
    Verification Time</t>
  </si>
  <si>
    <r>
      <t xml:space="preserve">Elite: &lt; 1 hour (Goal: Same day deployment)
High: &lt; 1 day (Acceptable for most features)
Medium: 1-7 days(Needs improvement)
Low: &gt; 1 week(Uncompetitive)
</t>
    </r>
    <r>
      <rPr>
        <b/>
        <sz val="10"/>
        <rFont val="Cambria"/>
        <family val="1"/>
      </rPr>
      <t>mobile App</t>
    </r>
    <r>
      <rPr>
        <sz val="10"/>
        <rFont val="Cambria"/>
        <family val="1"/>
      </rPr>
      <t xml:space="preserve">
Note: App store review adds 1-3 days baseline
Elite:    &lt; 2 days     (+ review time)
High:     2-7 days     (+ review time)
Medium:   1-2 weeks    (+ review time)
Low:      &gt; 2 weeks    (+ review time)
Workaround: Server-side feature flags</t>
    </r>
  </si>
  <si>
    <t xml:space="preserve">Tránh work in progress quá lâu, khắc phục cho các task sau </t>
  </si>
  <si>
    <t>Feedback index</t>
  </si>
  <si>
    <t>Mức độ đóng góp phát triển sản phẩm</t>
  </si>
  <si>
    <t>tính theo member trong Sprint/ tháng/ quý/ năm</t>
  </si>
  <si>
    <t>Khuyến khích đóng góp ý kiến, điểm cộng trong review cá nhân.</t>
  </si>
  <si>
    <t>Tỷ lệ commit được hoàn thành  release</t>
  </si>
  <si>
    <t xml:space="preserve"> theo số lượng:
= (Số lần release hoàn thành / tổng số lần plan release) × 100%</t>
  </si>
  <si>
    <t>Change Failure Rate (%) = (Number of Failed Changes / Total Changes) × 100% 
Hoặc: CFR = (Failed Deployments / Total Deployments) × 100%</t>
  </si>
  <si>
    <t>Tỷ lệ các lần thay đổi hoặc triển khai hệ thống gây ra sự cố trong môi trường production, làm ảnh hưởng đến dịch vụ và phải thực hiện khắc phục khẩn cấp (như rollback, hotfix hoặc vá lỗi).</t>
  </si>
  <si>
    <t xml:space="preserve">Nếu Lead Time &gt;&gt; Cycle Time: Có quá nhiều thời gian chờ đợi trong backlog
Nếu Lead Time ≈ Cycle Time: Team đang xử lý yêu cầu rất nhanh
Nếu Cycle Time tăng: Có thể do: code phức tạp, thiếu resources, quá nhiều bugs
</t>
  </si>
  <si>
    <t>Tỷ lệ phần trăm người dùng đã sử dụng một tính năng cụ thể ít nhất một lần trong khoảng thời gian nhất định so với tổng số người dùng active.</t>
  </si>
  <si>
    <t xml:space="preserve">Feature Adoption Rate = (Số user sử dụng tính năng  / Tổng số active users) × 100%
</t>
  </si>
  <si>
    <t>Số lần trung bình một tính năng được sử dụng bởi mỗi user trong một khoảng thời gian.</t>
  </si>
  <si>
    <t>Feature Usage Frequency (Tần suất sử dụng)</t>
  </si>
  <si>
    <t>Usage Frequency = Tổng số lần feature được dùng / Số users đã dùng feature
Hoặc
Daily/Weekly/Monthly Usage per User = Total feature uses / Active users using feature</t>
  </si>
  <si>
    <t>New User Sign-ups (Đăng ký mới)</t>
  </si>
  <si>
    <t>New Sign-ups = Số users mới trong khoảng thời gian</t>
  </si>
  <si>
    <t>Số lượng users mới đăng ký/tạo tài khoản/ tải app</t>
  </si>
  <si>
    <t>Daily Active Users / Monthly Active Users (DAU/MAU)</t>
  </si>
  <si>
    <t>Số users hoạt động mỗi ngày/tháng</t>
  </si>
  <si>
    <t>Stickiness = (DAU / MAU) × 100%</t>
  </si>
  <si>
    <t>Mục đích:
Biết sản phẩm đang phát triển
Dự báo doanh thu tương lai</t>
  </si>
  <si>
    <t>Chỉ số về sản phẩm Product Metrics</t>
  </si>
  <si>
    <t>Trùng trên SP</t>
  </si>
  <si>
    <t xml:space="preserve">• Queries trên TFS, tính % manual
• Đưa vào report tháng/ quý / năm
</t>
  </si>
  <si>
    <t>Cần hỗ trợ kĩ thuật</t>
  </si>
  <si>
    <t>•Xây dựng lại quy tắc tạo Epic/ feature/ User Story
• Đưa vài report quý/ năm
• P1: Xử lí data ở excel
• P2: Auto Dashboard</t>
  </si>
  <si>
    <t>Đếm số lượng plan release/ số lượng plan commit đúng hạn
Đưa vào report Quý/ năm</t>
  </si>
  <si>
    <t>Đã có sẵn trên TFS</t>
  </si>
  <si>
    <t xml:space="preserve">Lên kế hoạch dựng bộ tiêu chí </t>
  </si>
  <si>
    <t>Cần hỗ trợ - Chưa biết liên hệ bộ phận nào.</t>
  </si>
  <si>
    <t>Cho các feature vừa &amp; nhỏ
Đo khả năng của tổ chức trong việc chuyển ý tưởng kinh doanh thành giá trị thực tế cho khách hàng nhanh đến mức nào.</t>
  </si>
  <si>
    <t>Đưa vào Report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</si>
</sst>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charset val="1"/>
    </font>
    <font>
      <b/>
      <sz val="12"/>
      <name val="Cambria"/>
      <family val="1"/>
    </font>
    <font>
      <b/>
      <sz val="11"/>
      <color rgb="FFFFFFFF"/>
      <name val="Cambria"/>
      <family val="1"/>
    </font>
    <font>
      <b/>
      <sz val="10"/>
      <name val="Cambria"/>
      <family val="1"/>
    </font>
    <font>
      <b/>
      <sz val="11"/>
      <name val="Cambria"/>
      <family val="1"/>
    </font>
    <font>
      <b/>
      <sz val="14"/>
      <color rgb="FFFFFFFF"/>
      <name val="Cambria"/>
      <family val="1"/>
    </font>
    <font>
      <sz val="10"/>
      <name val="Cambria"/>
      <family val="1"/>
    </font>
    <font>
      <b/>
      <sz val="10"/>
      <name val="Cambria"/>
      <family val="1"/>
    </font>
    <font>
      <sz val="10"/>
      <name val="Cambria"/>
      <family val="1"/>
    </font>
    <font>
      <sz val="11"/>
      <color theme="1"/>
      <name val="Calibri"/>
      <family val="2"/>
    </font>
    <font>
      <sz val="11"/>
      <color theme="1"/>
      <name val="Cambria"/>
      <family val="1"/>
      <scheme val="major"/>
    </font>
    <font>
      <b/>
      <sz val="14"/>
      <color rgb="FFFFFFFF"/>
      <name val="Cambria"/>
      <family val="1"/>
    </font>
    <font>
      <b/>
      <sz val="11"/>
      <color theme="1"/>
      <name val="Cambria"/>
      <family val="1"/>
      <scheme val="major"/>
    </font>
    <font>
      <b/>
      <sz val="14"/>
      <color theme="0"/>
      <name val="Cambria"/>
      <family val="1"/>
      <scheme val="major"/>
    </font>
    <font>
      <b/>
      <sz val="11"/>
      <color rgb="FFFFFFFF"/>
      <name val="Cambria"/>
      <family val="1"/>
      <scheme val="major"/>
    </font>
    <font>
      <b/>
      <sz val="10"/>
      <name val="Cambria"/>
      <family val="1"/>
      <scheme val="major"/>
    </font>
    <font>
      <sz val="10"/>
      <name val="Cambria"/>
      <family val="1"/>
      <scheme val="major"/>
    </font>
  </fonts>
  <fills count="10">
    <fill>
      <patternFill patternType="none"/>
    </fill>
    <fill>
      <patternFill patternType="gray125"/>
    </fill>
    <fill>
      <patternFill patternType="solid">
        <fgColor rgb="FF366092"/>
        <bgColor rgb="FF416A9C"/>
      </patternFill>
    </fill>
    <fill>
      <patternFill patternType="solid">
        <fgColor rgb="FF203864"/>
        <bgColor rgb="FF1F4E78"/>
      </patternFill>
    </fill>
    <fill>
      <patternFill patternType="solid">
        <fgColor rgb="FFDCE6F1"/>
        <bgColor rgb="FFE9EDF4"/>
      </patternFill>
    </fill>
    <fill>
      <patternFill patternType="solid">
        <fgColor rgb="FFFFF2CC"/>
        <bgColor rgb="FFFFEB9C"/>
      </patternFill>
    </fill>
    <fill>
      <patternFill patternType="solid">
        <fgColor rgb="FFC6EFCE"/>
        <bgColor rgb="FFDCE6F1"/>
      </patternFill>
    </fill>
    <fill>
      <patternFill patternType="solid">
        <fgColor rgb="FFFFEB9C"/>
        <bgColor rgb="FFFFF2CC"/>
      </patternFill>
    </fill>
    <fill>
      <patternFill patternType="solid">
        <fgColor theme="3"/>
        <bgColor indexed="64"/>
      </patternFill>
    </fill>
    <fill>
      <patternFill patternType="solid">
        <fgColor theme="3"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style="thin">
        <color auto="1"/>
      </left>
      <right/>
      <top/>
      <bottom style="thin">
        <color auto="1"/>
      </bottom>
      <diagonal/>
    </border>
    <border>
      <left style="thin">
        <color auto="1"/>
      </left>
      <right/>
      <top style="thin">
        <color auto="1"/>
      </top>
      <bottom/>
      <diagonal/>
    </border>
  </borders>
  <cellStyleXfs count="1">
    <xf numFmtId="0" fontId="0" fillId="0" borderId="0"/>
  </cellStyleXfs>
  <cellXfs count="48">
    <xf numFmtId="0" fontId="0" fillId="0" borderId="0" xfId="0"/>
    <xf numFmtId="0" fontId="0" fillId="0" borderId="0" xfId="0" applyAlignment="1"/>
    <xf numFmtId="0" fontId="2" fillId="2" borderId="1" xfId="0" applyFont="1" applyFill="1" applyBorder="1" applyAlignment="1">
      <alignment horizontal="center" vertical="center" wrapText="1"/>
    </xf>
    <xf numFmtId="0" fontId="3" fillId="4" borderId="1" xfId="0" applyFont="1" applyFill="1" applyBorder="1" applyAlignment="1">
      <alignment horizontal="left" vertical="center"/>
    </xf>
    <xf numFmtId="0" fontId="6"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0" fillId="6" borderId="0" xfId="0" applyFont="1" applyFill="1" applyAlignment="1"/>
    <xf numFmtId="0" fontId="0" fillId="7" borderId="0" xfId="0" applyFont="1" applyFill="1" applyAlignment="1"/>
    <xf numFmtId="0" fontId="2" fillId="2" borderId="0" xfId="0" applyFont="1" applyFill="1" applyAlignment="1"/>
    <xf numFmtId="0" fontId="4" fillId="0" borderId="0" xfId="0" applyFont="1" applyAlignment="1"/>
    <xf numFmtId="0" fontId="0" fillId="0" borderId="1" xfId="0" applyFont="1" applyBorder="1" applyAlignment="1">
      <alignment wrapText="1"/>
    </xf>
    <xf numFmtId="0" fontId="0" fillId="0" borderId="1" xfId="0" applyFont="1" applyBorder="1" applyAlignment="1">
      <alignment vertical="top" wrapText="1"/>
    </xf>
    <xf numFmtId="0" fontId="3" fillId="4" borderId="2" xfId="0" applyFont="1" applyFill="1" applyBorder="1" applyAlignment="1">
      <alignment vertical="center"/>
    </xf>
    <xf numFmtId="0" fontId="3" fillId="4" borderId="3" xfId="0" applyFont="1" applyFill="1" applyBorder="1" applyAlignment="1">
      <alignment vertical="center"/>
    </xf>
    <xf numFmtId="0" fontId="8" fillId="0" borderId="1" xfId="0" applyFont="1" applyBorder="1" applyAlignment="1">
      <alignment horizontal="left" vertical="center" wrapText="1"/>
    </xf>
    <xf numFmtId="0" fontId="0" fillId="0" borderId="0" xfId="0" applyAlignment="1">
      <alignment wrapText="1"/>
    </xf>
    <xf numFmtId="0" fontId="0" fillId="5" borderId="0" xfId="0" applyFont="1" applyFill="1" applyAlignment="1">
      <alignment wrapText="1"/>
    </xf>
    <xf numFmtId="0" fontId="0" fillId="5" borderId="1" xfId="0" applyFill="1" applyBorder="1" applyAlignment="1">
      <alignment wrapText="1"/>
    </xf>
    <xf numFmtId="0" fontId="6" fillId="0" borderId="1" xfId="0" applyFont="1" applyBorder="1" applyAlignment="1">
      <alignment horizontal="left" vertical="top" wrapText="1"/>
    </xf>
    <xf numFmtId="0" fontId="10" fillId="0" borderId="0" xfId="0" applyFont="1" applyAlignment="1">
      <alignment vertical="top"/>
    </xf>
    <xf numFmtId="0" fontId="14" fillId="2" borderId="1" xfId="0" applyFont="1" applyFill="1" applyBorder="1" applyAlignment="1">
      <alignment horizontal="center" vertical="top" wrapText="1"/>
    </xf>
    <xf numFmtId="0" fontId="16" fillId="0" borderId="1" xfId="0" applyFont="1" applyBorder="1" applyAlignment="1">
      <alignment horizontal="left" vertical="top" wrapText="1"/>
    </xf>
    <xf numFmtId="0" fontId="8" fillId="0" borderId="1" xfId="0" applyFont="1" applyBorder="1" applyAlignment="1">
      <alignment horizontal="left" vertical="top" wrapText="1"/>
    </xf>
    <xf numFmtId="0" fontId="6" fillId="0" borderId="2" xfId="0" applyFont="1" applyBorder="1" applyAlignment="1">
      <alignment horizontal="left" vertical="center" wrapText="1"/>
    </xf>
    <xf numFmtId="0" fontId="15" fillId="4" borderId="11" xfId="0" applyFont="1" applyFill="1" applyBorder="1" applyAlignment="1">
      <alignment vertical="top"/>
    </xf>
    <xf numFmtId="0" fontId="16" fillId="0" borderId="6" xfId="0" applyFont="1" applyBorder="1" applyAlignment="1">
      <alignment horizontal="left" vertical="top" wrapText="1"/>
    </xf>
    <xf numFmtId="0" fontId="10" fillId="0" borderId="1" xfId="0" applyFont="1" applyBorder="1" applyAlignment="1">
      <alignment vertical="top" wrapText="1"/>
    </xf>
    <xf numFmtId="0" fontId="10" fillId="0" borderId="1" xfId="0" applyFont="1" applyBorder="1" applyAlignment="1">
      <alignment vertical="top"/>
    </xf>
    <xf numFmtId="0" fontId="3" fillId="4" borderId="10" xfId="0" applyFont="1" applyFill="1" applyBorder="1" applyAlignment="1">
      <alignment horizontal="left" vertical="center"/>
    </xf>
    <xf numFmtId="0" fontId="3" fillId="4" borderId="8" xfId="0" applyFont="1" applyFill="1" applyBorder="1" applyAlignment="1">
      <alignment horizontal="left" vertical="center"/>
    </xf>
    <xf numFmtId="0" fontId="13" fillId="8" borderId="8" xfId="0" applyFont="1" applyFill="1" applyBorder="1" applyAlignment="1">
      <alignment horizontal="center"/>
    </xf>
    <xf numFmtId="0" fontId="12" fillId="9" borderId="9" xfId="0" applyFont="1" applyFill="1" applyBorder="1" applyAlignment="1">
      <alignment horizontal="left" vertical="top"/>
    </xf>
    <xf numFmtId="0" fontId="13" fillId="8" borderId="9" xfId="0" applyFont="1" applyFill="1" applyBorder="1" applyAlignment="1">
      <alignment horizontal="left"/>
    </xf>
    <xf numFmtId="0" fontId="11" fillId="3" borderId="0" xfId="0" applyFont="1" applyFill="1" applyBorder="1" applyAlignment="1">
      <alignment horizontal="center" vertical="center"/>
    </xf>
    <xf numFmtId="0" fontId="5" fillId="3" borderId="0" xfId="0" applyFont="1" applyFill="1" applyBorder="1" applyAlignment="1">
      <alignment horizontal="center" vertical="center"/>
    </xf>
    <xf numFmtId="0" fontId="9" fillId="0" borderId="4" xfId="0" applyFont="1" applyBorder="1" applyAlignment="1">
      <alignment horizontal="left" vertical="top" wrapText="1"/>
    </xf>
    <xf numFmtId="0" fontId="0" fillId="0" borderId="4" xfId="0" applyBorder="1" applyAlignment="1">
      <alignment horizontal="left" vertical="top"/>
    </xf>
    <xf numFmtId="0" fontId="7" fillId="4" borderId="2" xfId="0" applyFont="1" applyFill="1" applyBorder="1" applyAlignment="1">
      <alignment horizontal="left" vertical="center"/>
    </xf>
    <xf numFmtId="0" fontId="3" fillId="4" borderId="7" xfId="0" applyFont="1" applyFill="1" applyBorder="1" applyAlignment="1">
      <alignment horizontal="left" vertical="center"/>
    </xf>
    <xf numFmtId="0" fontId="3" fillId="4" borderId="3" xfId="0" applyFont="1" applyFill="1" applyBorder="1" applyAlignment="1">
      <alignment horizontal="left" vertical="center"/>
    </xf>
    <xf numFmtId="0" fontId="0" fillId="0" borderId="5" xfId="0" applyBorder="1" applyAlignment="1">
      <alignment horizontal="left" vertical="top" wrapText="1"/>
    </xf>
    <xf numFmtId="0" fontId="0" fillId="0" borderId="6" xfId="0" applyBorder="1" applyAlignment="1">
      <alignment horizontal="left" vertical="top"/>
    </xf>
    <xf numFmtId="0" fontId="5" fillId="3" borderId="0" xfId="0" applyFont="1" applyFill="1" applyBorder="1" applyAlignment="1">
      <alignment horizontal="center" vertical="center" wrapText="1"/>
    </xf>
    <xf numFmtId="0" fontId="3" fillId="4" borderId="0" xfId="0" applyFont="1" applyFill="1" applyBorder="1" applyAlignment="1">
      <alignment wrapText="1"/>
    </xf>
    <xf numFmtId="0" fontId="0" fillId="0" borderId="0" xfId="0" applyFont="1" applyBorder="1" applyAlignment="1">
      <alignment vertical="top" wrapText="1"/>
    </xf>
    <xf numFmtId="0" fontId="1" fillId="4" borderId="0" xfId="0" applyFont="1" applyFill="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4F81BD"/>
      <rgbColor rgb="FF9999FF"/>
      <rgbColor rgb="FFC0504D"/>
      <rgbColor rgb="FFFFF2CC"/>
      <rgbColor rgb="FFE9EDF4"/>
      <rgbColor rgb="FF660066"/>
      <rgbColor rgb="FFFF8080"/>
      <rgbColor rgb="FF366092"/>
      <rgbColor rgb="FFD9D9D9"/>
      <rgbColor rgb="FF000080"/>
      <rgbColor rgb="FFFF00FF"/>
      <rgbColor rgb="FFFFFF00"/>
      <rgbColor rgb="FF00FFFF"/>
      <rgbColor rgb="FF800080"/>
      <rgbColor rgb="FF800000"/>
      <rgbColor rgb="FF008080"/>
      <rgbColor rgb="FF0000FF"/>
      <rgbColor rgb="FF00CCFF"/>
      <rgbColor rgb="FFDCE6F1"/>
      <rgbColor rgb="FFC6EFCE"/>
      <rgbColor rgb="FFFFEB9C"/>
      <rgbColor rgb="FFAABAD7"/>
      <rgbColor rgb="FFFF99CC"/>
      <rgbColor rgb="FFCC99FF"/>
      <rgbColor rgb="FFFFCC99"/>
      <rgbColor rgb="FF3366FF"/>
      <rgbColor rgb="FF33CCCC"/>
      <rgbColor rgb="FF99CC00"/>
      <rgbColor rgb="FFFFCC00"/>
      <rgbColor rgb="FFFF9900"/>
      <rgbColor rgb="FFFF6600"/>
      <rgbColor rgb="FF416A9C"/>
      <rgbColor rgb="FF969696"/>
      <rgbColor rgb="FF203864"/>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Quarterly Velocity Trend</a:t>
            </a:r>
          </a:p>
        </c:rich>
      </c:tx>
      <c:layout/>
      <c:overlay val="0"/>
      <c:spPr>
        <a:noFill/>
        <a:ln w="0">
          <a:noFill/>
        </a:ln>
      </c:spPr>
    </c:title>
    <c:autoTitleDeleted val="0"/>
    <c:plotArea>
      <c:layout/>
      <c:lineChart>
        <c:grouping val="standard"/>
        <c:varyColors val="0"/>
        <c:ser>
          <c:idx val="0"/>
          <c:order val="0"/>
          <c:tx>
            <c:strRef>
              <c:f>'Sample Quarterly Report'!$B$50</c:f>
              <c:strCache>
                <c:ptCount val="1"/>
                <c:pt idx="0">
                  <c:v>Velocity</c:v>
                </c:pt>
              </c:strCache>
            </c:strRef>
          </c:tx>
          <c:spPr>
            <a:ln w="0">
              <a:solidFill>
                <a:srgbClr val="FFFFFF"/>
              </a:solidFill>
            </a:ln>
          </c:spPr>
          <c:marker>
            <c:symbol val="circle"/>
            <c:size val="5"/>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'Sample Quarterly Report'!$A$51:$A$53</c:f>
              <c:strCache>
                <c:ptCount val="3"/>
                <c:pt idx="0">
                  <c:v>October</c:v>
                </c:pt>
                <c:pt idx="1">
                  <c:v>November</c:v>
                </c:pt>
                <c:pt idx="2">
                  <c:v>December</c:v>
                </c:pt>
              </c:strCache>
            </c:strRef>
          </c:cat>
          <c:val>
            <c:numRef>
              <c:f>'Sample Quarterly Report'!$B$51:$B$53</c:f>
              <c:numCache>
                <c:formatCode>General</c:formatCode>
                <c:ptCount val="3"/>
                <c:pt idx="0">
                  <c:v>40</c:v>
                </c:pt>
                <c:pt idx="1">
                  <c:v>42.5</c:v>
                </c:pt>
                <c:pt idx="2">
                  <c:v>42.5</c:v>
                </c:pt>
              </c:numCache>
            </c:numRef>
          </c:val>
          <c:smooth val="1"/>
          <c:extLst>
            <c:ext xmlns:c16="http://schemas.microsoft.com/office/drawing/2014/chart" uri="{C3380CC4-5D6E-409C-BE32-E72D297353CC}">
              <c16:uniqueId val="{00000000-7190-40A0-99B4-B6DBE55885E6}"/>
            </c:ext>
          </c:extLst>
        </c:ser>
        <c:ser>
          <c:idx val="1"/>
          <c:order val="1"/>
          <c:tx>
            <c:strRef>
              <c:f>'Sample Quarterly Report'!$C$50</c:f>
              <c:strCache>
                <c:ptCount val="1"/>
                <c:pt idx="0">
                  <c:v>Target</c:v>
                </c:pt>
              </c:strCache>
            </c:strRef>
          </c:tx>
          <c:spPr>
            <a:ln w="0">
              <a:solidFill>
                <a:srgbClr val="FFFFFF"/>
              </a:solidFill>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'Sample Quarterly Report'!$A$51:$A$53</c:f>
              <c:strCache>
                <c:ptCount val="3"/>
                <c:pt idx="0">
                  <c:v>October</c:v>
                </c:pt>
                <c:pt idx="1">
                  <c:v>November</c:v>
                </c:pt>
                <c:pt idx="2">
                  <c:v>December</c:v>
                </c:pt>
              </c:strCache>
            </c:strRef>
          </c:cat>
          <c:val>
            <c:numRef>
              <c:f>'Sample Quarterly Report'!$C$51:$C$53</c:f>
              <c:numCache>
                <c:formatCode>General</c:formatCode>
                <c:ptCount val="3"/>
                <c:pt idx="0">
                  <c:v>45</c:v>
                </c:pt>
                <c:pt idx="1">
                  <c:v>45</c:v>
                </c:pt>
                <c:pt idx="2">
                  <c:v>45</c:v>
                </c:pt>
              </c:numCache>
            </c:numRef>
          </c:val>
          <c:smooth val="1"/>
          <c:extLst>
            <c:ext xmlns:c16="http://schemas.microsoft.com/office/drawing/2014/chart" uri="{C3380CC4-5D6E-409C-BE32-E72D297353CC}">
              <c16:uniqueId val="{00000001-7190-40A0-99B4-B6DBE55885E6}"/>
            </c:ext>
          </c:extLst>
        </c:ser>
        <c:dLbls>
          <c:showLegendKey val="0"/>
          <c:showVal val="0"/>
          <c:showCatName val="0"/>
          <c:showSerName val="0"/>
          <c:showPercent val="0"/>
          <c:showBubbleSize val="0"/>
        </c:dLbls>
        <c:hiLowLines>
          <c:spPr>
            <a:ln w="0">
              <a:noFill/>
            </a:ln>
          </c:spPr>
        </c:hiLowLines>
        <c:marker val="1"/>
        <c:smooth val="0"/>
        <c:axId val="63351292"/>
        <c:axId val="57906713"/>
      </c:lineChart>
      <c:catAx>
        <c:axId val="63351292"/>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layout/>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7906713"/>
        <c:crosses val="autoZero"/>
        <c:auto val="1"/>
        <c:lblAlgn val="ctr"/>
        <c:lblOffset val="100"/>
        <c:noMultiLvlLbl val="0"/>
      </c:catAx>
      <c:valAx>
        <c:axId val="5790671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Story Points</a:t>
                </a:r>
              </a:p>
            </c:rich>
          </c:tx>
          <c:layout/>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3351292"/>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Team Happiness Improvement</a:t>
            </a:r>
          </a:p>
        </c:rich>
      </c:tx>
      <c:layout>
        <c:manualLayout>
          <c:xMode val="edge"/>
          <c:yMode val="edge"/>
          <c:x val="0.39841653443996905"/>
          <c:y val="0.17725547119249666"/>
        </c:manualLayout>
      </c:layout>
      <c:overlay val="0"/>
      <c:spPr>
        <a:noFill/>
        <a:ln w="0">
          <a:noFill/>
        </a:ln>
      </c:spPr>
    </c:title>
    <c:autoTitleDeleted val="0"/>
    <c:plotArea>
      <c:layout/>
      <c:lineChart>
        <c:grouping val="standard"/>
        <c:varyColors val="0"/>
        <c:ser>
          <c:idx val="0"/>
          <c:order val="0"/>
          <c:tx>
            <c:strRef>
              <c:f>'Sample Quarterly Report'!$B$60</c:f>
              <c:strCache>
                <c:ptCount val="1"/>
                <c:pt idx="0">
                  <c:v>Happiness</c:v>
                </c:pt>
              </c:strCache>
            </c:strRef>
          </c:tx>
          <c:spPr>
            <a:ln w="0">
              <a:solidFill>
                <a:srgbClr val="FFFFFF"/>
              </a:solidFill>
            </a:ln>
          </c:spPr>
          <c:marker>
            <c:symbol val="circle"/>
            <c:size val="8"/>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'Sample Quarterly Report'!$A$61:$A$63</c:f>
              <c:strCache>
                <c:ptCount val="3"/>
                <c:pt idx="0">
                  <c:v>October</c:v>
                </c:pt>
                <c:pt idx="1">
                  <c:v>November</c:v>
                </c:pt>
                <c:pt idx="2">
                  <c:v>December</c:v>
                </c:pt>
              </c:strCache>
            </c:strRef>
          </c:cat>
          <c:val>
            <c:numRef>
              <c:f>'Sample Quarterly Report'!$B$61:$B$63</c:f>
              <c:numCache>
                <c:formatCode>General</c:formatCode>
                <c:ptCount val="3"/>
                <c:pt idx="0">
                  <c:v>3.7</c:v>
                </c:pt>
                <c:pt idx="1">
                  <c:v>3.9</c:v>
                </c:pt>
                <c:pt idx="2">
                  <c:v>4.05</c:v>
                </c:pt>
              </c:numCache>
            </c:numRef>
          </c:val>
          <c:smooth val="1"/>
          <c:extLst>
            <c:ext xmlns:c16="http://schemas.microsoft.com/office/drawing/2014/chart" uri="{C3380CC4-5D6E-409C-BE32-E72D297353CC}">
              <c16:uniqueId val="{00000000-2C64-4F9B-AACA-F7B618CB3170}"/>
            </c:ext>
          </c:extLst>
        </c:ser>
        <c:dLbls>
          <c:showLegendKey val="0"/>
          <c:showVal val="0"/>
          <c:showCatName val="0"/>
          <c:showSerName val="0"/>
          <c:showPercent val="0"/>
          <c:showBubbleSize val="0"/>
        </c:dLbls>
        <c:hiLowLines>
          <c:spPr>
            <a:ln w="0">
              <a:noFill/>
            </a:ln>
          </c:spPr>
        </c:hiLowLines>
        <c:marker val="1"/>
        <c:smooth val="0"/>
        <c:axId val="42454577"/>
        <c:axId val="92606902"/>
      </c:lineChart>
      <c:catAx>
        <c:axId val="4245457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layout/>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2606902"/>
        <c:crosses val="autoZero"/>
        <c:auto val="1"/>
        <c:lblAlgn val="ctr"/>
        <c:lblOffset val="100"/>
        <c:noMultiLvlLbl val="0"/>
      </c:catAx>
      <c:valAx>
        <c:axId val="92606902"/>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Score (1-5)</a:t>
                </a:r>
              </a:p>
            </c:rich>
          </c:tx>
          <c:layout/>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454577"/>
        <c:crosses val="autoZero"/>
        <c:crossBetween val="between"/>
      </c:valAx>
      <c:spPr>
        <a:noFill/>
        <a:ln w="0">
          <a:noFill/>
        </a:ln>
      </c:spPr>
    </c:plotArea>
    <c:legend>
      <c:legendPos val="r"/>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281940</xdr:colOff>
          <xdr:row>5</xdr:row>
          <xdr:rowOff>160020</xdr:rowOff>
        </xdr:from>
        <xdr:to>
          <xdr:col>2</xdr:col>
          <xdr:colOff>563880</xdr:colOff>
          <xdr:row>5</xdr:row>
          <xdr:rowOff>365760</xdr:rowOff>
        </xdr:to>
        <xdr:sp macro="" textlink="">
          <xdr:nvSpPr>
            <xdr:cNvPr id="6145" name="Check Box 1" hidden="1">
              <a:extLst>
                <a:ext uri="{63B3BB69-23CF-44E3-9099-C40C66FF867C}">
                  <a14:compatExt spid="_x0000_s61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xdr:row>
          <xdr:rowOff>144780</xdr:rowOff>
        </xdr:from>
        <xdr:to>
          <xdr:col>3</xdr:col>
          <xdr:colOff>236220</xdr:colOff>
          <xdr:row>3</xdr:row>
          <xdr:rowOff>358140</xdr:rowOff>
        </xdr:to>
        <xdr:sp macro="" textlink="">
          <xdr:nvSpPr>
            <xdr:cNvPr id="6146" name="Check Box 2" hidden="1">
              <a:extLst>
                <a:ext uri="{63B3BB69-23CF-44E3-9099-C40C66FF867C}">
                  <a14:compatExt spid="_x0000_s61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4</xdr:row>
          <xdr:rowOff>144780</xdr:rowOff>
        </xdr:from>
        <xdr:to>
          <xdr:col>3</xdr:col>
          <xdr:colOff>236220</xdr:colOff>
          <xdr:row>4</xdr:row>
          <xdr:rowOff>358140</xdr:rowOff>
        </xdr:to>
        <xdr:sp macro="" textlink="">
          <xdr:nvSpPr>
            <xdr:cNvPr id="6147" name="Check Box 3" hidden="1">
              <a:extLst>
                <a:ext uri="{63B3BB69-23CF-44E3-9099-C40C66FF867C}">
                  <a14:compatExt spid="_x0000_s61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6</xdr:row>
          <xdr:rowOff>144780</xdr:rowOff>
        </xdr:from>
        <xdr:to>
          <xdr:col>3</xdr:col>
          <xdr:colOff>236220</xdr:colOff>
          <xdr:row>6</xdr:row>
          <xdr:rowOff>358140</xdr:rowOff>
        </xdr:to>
        <xdr:sp macro="" textlink="">
          <xdr:nvSpPr>
            <xdr:cNvPr id="6148" name="Check Box 4" hidden="1">
              <a:extLst>
                <a:ext uri="{63B3BB69-23CF-44E3-9099-C40C66FF867C}">
                  <a14:compatExt spid="_x0000_s61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6</xdr:row>
          <xdr:rowOff>144780</xdr:rowOff>
        </xdr:from>
        <xdr:to>
          <xdr:col>3</xdr:col>
          <xdr:colOff>236220</xdr:colOff>
          <xdr:row>6</xdr:row>
          <xdr:rowOff>358140</xdr:rowOff>
        </xdr:to>
        <xdr:sp macro="" textlink="">
          <xdr:nvSpPr>
            <xdr:cNvPr id="6149" name="Check Box 5" hidden="1">
              <a:extLst>
                <a:ext uri="{63B3BB69-23CF-44E3-9099-C40C66FF867C}">
                  <a14:compatExt spid="_x0000_s61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7</xdr:row>
          <xdr:rowOff>144780</xdr:rowOff>
        </xdr:from>
        <xdr:to>
          <xdr:col>3</xdr:col>
          <xdr:colOff>236220</xdr:colOff>
          <xdr:row>7</xdr:row>
          <xdr:rowOff>358140</xdr:rowOff>
        </xdr:to>
        <xdr:sp macro="" textlink="">
          <xdr:nvSpPr>
            <xdr:cNvPr id="6150" name="Check Box 6" hidden="1">
              <a:extLst>
                <a:ext uri="{63B3BB69-23CF-44E3-9099-C40C66FF867C}">
                  <a14:compatExt spid="_x0000_s61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8</xdr:row>
          <xdr:rowOff>144780</xdr:rowOff>
        </xdr:from>
        <xdr:to>
          <xdr:col>3</xdr:col>
          <xdr:colOff>236220</xdr:colOff>
          <xdr:row>8</xdr:row>
          <xdr:rowOff>358140</xdr:rowOff>
        </xdr:to>
        <xdr:sp macro="" textlink="">
          <xdr:nvSpPr>
            <xdr:cNvPr id="6151" name="Check Box 7" hidden="1">
              <a:extLst>
                <a:ext uri="{63B3BB69-23CF-44E3-9099-C40C66FF867C}">
                  <a14:compatExt spid="_x0000_s61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9</xdr:row>
          <xdr:rowOff>144780</xdr:rowOff>
        </xdr:from>
        <xdr:to>
          <xdr:col>3</xdr:col>
          <xdr:colOff>236220</xdr:colOff>
          <xdr:row>9</xdr:row>
          <xdr:rowOff>358140</xdr:rowOff>
        </xdr:to>
        <xdr:sp macro="" textlink="">
          <xdr:nvSpPr>
            <xdr:cNvPr id="6152" name="Check Box 8" hidden="1">
              <a:extLst>
                <a:ext uri="{63B3BB69-23CF-44E3-9099-C40C66FF867C}">
                  <a14:compatExt spid="_x0000_s61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11</xdr:row>
          <xdr:rowOff>144780</xdr:rowOff>
        </xdr:from>
        <xdr:to>
          <xdr:col>3</xdr:col>
          <xdr:colOff>236220</xdr:colOff>
          <xdr:row>11</xdr:row>
          <xdr:rowOff>358140</xdr:rowOff>
        </xdr:to>
        <xdr:sp macro="" textlink="">
          <xdr:nvSpPr>
            <xdr:cNvPr id="6153" name="Check Box 9" hidden="1">
              <a:extLst>
                <a:ext uri="{63B3BB69-23CF-44E3-9099-C40C66FF867C}">
                  <a14:compatExt spid="_x0000_s61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12</xdr:row>
          <xdr:rowOff>144780</xdr:rowOff>
        </xdr:from>
        <xdr:to>
          <xdr:col>3</xdr:col>
          <xdr:colOff>236220</xdr:colOff>
          <xdr:row>13</xdr:row>
          <xdr:rowOff>22860</xdr:rowOff>
        </xdr:to>
        <xdr:sp macro="" textlink="">
          <xdr:nvSpPr>
            <xdr:cNvPr id="6154" name="Check Box 10" hidden="1">
              <a:extLst>
                <a:ext uri="{63B3BB69-23CF-44E3-9099-C40C66FF867C}">
                  <a14:compatExt spid="_x0000_s61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13</xdr:row>
          <xdr:rowOff>144780</xdr:rowOff>
        </xdr:from>
        <xdr:to>
          <xdr:col>3</xdr:col>
          <xdr:colOff>236220</xdr:colOff>
          <xdr:row>13</xdr:row>
          <xdr:rowOff>358140</xdr:rowOff>
        </xdr:to>
        <xdr:sp macro="" textlink="">
          <xdr:nvSpPr>
            <xdr:cNvPr id="6155" name="Check Box 11" hidden="1">
              <a:extLst>
                <a:ext uri="{63B3BB69-23CF-44E3-9099-C40C66FF867C}">
                  <a14:compatExt spid="_x0000_s61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14</xdr:row>
          <xdr:rowOff>144780</xdr:rowOff>
        </xdr:from>
        <xdr:to>
          <xdr:col>3</xdr:col>
          <xdr:colOff>236220</xdr:colOff>
          <xdr:row>15</xdr:row>
          <xdr:rowOff>22860</xdr:rowOff>
        </xdr:to>
        <xdr:sp macro="" textlink="">
          <xdr:nvSpPr>
            <xdr:cNvPr id="6156" name="Check Box 12" hidden="1">
              <a:extLst>
                <a:ext uri="{63B3BB69-23CF-44E3-9099-C40C66FF867C}">
                  <a14:compatExt spid="_x0000_s61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15</xdr:row>
          <xdr:rowOff>144780</xdr:rowOff>
        </xdr:from>
        <xdr:to>
          <xdr:col>3</xdr:col>
          <xdr:colOff>236220</xdr:colOff>
          <xdr:row>15</xdr:row>
          <xdr:rowOff>358140</xdr:rowOff>
        </xdr:to>
        <xdr:sp macro="" textlink="">
          <xdr:nvSpPr>
            <xdr:cNvPr id="6157" name="Check Box 13" hidden="1">
              <a:extLst>
                <a:ext uri="{63B3BB69-23CF-44E3-9099-C40C66FF867C}">
                  <a14:compatExt spid="_x0000_s61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16</xdr:row>
          <xdr:rowOff>144780</xdr:rowOff>
        </xdr:from>
        <xdr:to>
          <xdr:col>3</xdr:col>
          <xdr:colOff>236220</xdr:colOff>
          <xdr:row>16</xdr:row>
          <xdr:rowOff>358140</xdr:rowOff>
        </xdr:to>
        <xdr:sp macro="" textlink="">
          <xdr:nvSpPr>
            <xdr:cNvPr id="6158" name="Check Box 14" hidden="1">
              <a:extLst>
                <a:ext uri="{63B3BB69-23CF-44E3-9099-C40C66FF867C}">
                  <a14:compatExt spid="_x0000_s61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17</xdr:row>
          <xdr:rowOff>144780</xdr:rowOff>
        </xdr:from>
        <xdr:to>
          <xdr:col>3</xdr:col>
          <xdr:colOff>236220</xdr:colOff>
          <xdr:row>17</xdr:row>
          <xdr:rowOff>358140</xdr:rowOff>
        </xdr:to>
        <xdr:sp macro="" textlink="">
          <xdr:nvSpPr>
            <xdr:cNvPr id="6160" name="Check Box 16" hidden="1">
              <a:extLst>
                <a:ext uri="{63B3BB69-23CF-44E3-9099-C40C66FF867C}">
                  <a14:compatExt spid="_x0000_s61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20</xdr:row>
          <xdr:rowOff>144780</xdr:rowOff>
        </xdr:from>
        <xdr:to>
          <xdr:col>3</xdr:col>
          <xdr:colOff>236220</xdr:colOff>
          <xdr:row>20</xdr:row>
          <xdr:rowOff>358140</xdr:rowOff>
        </xdr:to>
        <xdr:sp macro="" textlink="">
          <xdr:nvSpPr>
            <xdr:cNvPr id="6164" name="Check Box 20" hidden="1">
              <a:extLst>
                <a:ext uri="{63B3BB69-23CF-44E3-9099-C40C66FF867C}">
                  <a14:compatExt spid="_x0000_s61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21</xdr:row>
          <xdr:rowOff>144780</xdr:rowOff>
        </xdr:from>
        <xdr:to>
          <xdr:col>3</xdr:col>
          <xdr:colOff>236220</xdr:colOff>
          <xdr:row>21</xdr:row>
          <xdr:rowOff>358140</xdr:rowOff>
        </xdr:to>
        <xdr:sp macro="" textlink="">
          <xdr:nvSpPr>
            <xdr:cNvPr id="6165" name="Check Box 21" hidden="1">
              <a:extLst>
                <a:ext uri="{63B3BB69-23CF-44E3-9099-C40C66FF867C}">
                  <a14:compatExt spid="_x0000_s61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22</xdr:row>
          <xdr:rowOff>144780</xdr:rowOff>
        </xdr:from>
        <xdr:to>
          <xdr:col>3</xdr:col>
          <xdr:colOff>236220</xdr:colOff>
          <xdr:row>22</xdr:row>
          <xdr:rowOff>358140</xdr:rowOff>
        </xdr:to>
        <xdr:sp macro="" textlink="">
          <xdr:nvSpPr>
            <xdr:cNvPr id="6166" name="Check Box 22" hidden="1">
              <a:extLst>
                <a:ext uri="{63B3BB69-23CF-44E3-9099-C40C66FF867C}">
                  <a14:compatExt spid="_x0000_s61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23</xdr:row>
          <xdr:rowOff>144780</xdr:rowOff>
        </xdr:from>
        <xdr:to>
          <xdr:col>3</xdr:col>
          <xdr:colOff>236220</xdr:colOff>
          <xdr:row>23</xdr:row>
          <xdr:rowOff>358140</xdr:rowOff>
        </xdr:to>
        <xdr:sp macro="" textlink="">
          <xdr:nvSpPr>
            <xdr:cNvPr id="6167" name="Check Box 23" hidden="1">
              <a:extLst>
                <a:ext uri="{63B3BB69-23CF-44E3-9099-C40C66FF867C}">
                  <a14:compatExt spid="_x0000_s61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274320</xdr:colOff>
          <xdr:row>26</xdr:row>
          <xdr:rowOff>0</xdr:rowOff>
        </xdr:from>
        <xdr:to>
          <xdr:col>3</xdr:col>
          <xdr:colOff>228600</xdr:colOff>
          <xdr:row>27</xdr:row>
          <xdr:rowOff>30480</xdr:rowOff>
        </xdr:to>
        <xdr:sp macro="" textlink="">
          <xdr:nvSpPr>
            <xdr:cNvPr id="6168" name="Check Box 24" hidden="1">
              <a:extLst>
                <a:ext uri="{63B3BB69-23CF-44E3-9099-C40C66FF867C}">
                  <a14:compatExt spid="_x0000_s61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28</xdr:row>
          <xdr:rowOff>144780</xdr:rowOff>
        </xdr:from>
        <xdr:to>
          <xdr:col>3</xdr:col>
          <xdr:colOff>236220</xdr:colOff>
          <xdr:row>28</xdr:row>
          <xdr:rowOff>358140</xdr:rowOff>
        </xdr:to>
        <xdr:sp macro="" textlink="">
          <xdr:nvSpPr>
            <xdr:cNvPr id="6175" name="Check Box 31" hidden="1">
              <a:extLst>
                <a:ext uri="{63B3BB69-23CF-44E3-9099-C40C66FF867C}">
                  <a14:compatExt spid="_x0000_s61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28</xdr:row>
          <xdr:rowOff>144780</xdr:rowOff>
        </xdr:from>
        <xdr:to>
          <xdr:col>3</xdr:col>
          <xdr:colOff>236220</xdr:colOff>
          <xdr:row>28</xdr:row>
          <xdr:rowOff>358140</xdr:rowOff>
        </xdr:to>
        <xdr:sp macro="" textlink="">
          <xdr:nvSpPr>
            <xdr:cNvPr id="6176" name="Check Box 32" hidden="1">
              <a:extLst>
                <a:ext uri="{63B3BB69-23CF-44E3-9099-C40C66FF867C}">
                  <a14:compatExt spid="_x0000_s61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31</xdr:row>
          <xdr:rowOff>144780</xdr:rowOff>
        </xdr:from>
        <xdr:to>
          <xdr:col>3</xdr:col>
          <xdr:colOff>236220</xdr:colOff>
          <xdr:row>32</xdr:row>
          <xdr:rowOff>175260</xdr:rowOff>
        </xdr:to>
        <xdr:sp macro="" textlink="">
          <xdr:nvSpPr>
            <xdr:cNvPr id="6181" name="Check Box 37" hidden="1">
              <a:extLst>
                <a:ext uri="{63B3BB69-23CF-44E3-9099-C40C66FF867C}">
                  <a14:compatExt spid="_x0000_s61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31</xdr:row>
          <xdr:rowOff>144780</xdr:rowOff>
        </xdr:from>
        <xdr:to>
          <xdr:col>3</xdr:col>
          <xdr:colOff>236220</xdr:colOff>
          <xdr:row>32</xdr:row>
          <xdr:rowOff>175260</xdr:rowOff>
        </xdr:to>
        <xdr:sp macro="" textlink="">
          <xdr:nvSpPr>
            <xdr:cNvPr id="6182" name="Check Box 38" hidden="1">
              <a:extLst>
                <a:ext uri="{63B3BB69-23CF-44E3-9099-C40C66FF867C}">
                  <a14:compatExt spid="_x0000_s61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32</xdr:row>
          <xdr:rowOff>144780</xdr:rowOff>
        </xdr:from>
        <xdr:to>
          <xdr:col>3</xdr:col>
          <xdr:colOff>236220</xdr:colOff>
          <xdr:row>33</xdr:row>
          <xdr:rowOff>175260</xdr:rowOff>
        </xdr:to>
        <xdr:sp macro="" textlink="">
          <xdr:nvSpPr>
            <xdr:cNvPr id="6183" name="Check Box 39" hidden="1">
              <a:extLst>
                <a:ext uri="{63B3BB69-23CF-44E3-9099-C40C66FF867C}">
                  <a14:compatExt spid="_x0000_s61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32</xdr:row>
          <xdr:rowOff>144780</xdr:rowOff>
        </xdr:from>
        <xdr:to>
          <xdr:col>3</xdr:col>
          <xdr:colOff>236220</xdr:colOff>
          <xdr:row>33</xdr:row>
          <xdr:rowOff>175260</xdr:rowOff>
        </xdr:to>
        <xdr:sp macro="" textlink="">
          <xdr:nvSpPr>
            <xdr:cNvPr id="6184" name="Check Box 40" hidden="1">
              <a:extLst>
                <a:ext uri="{63B3BB69-23CF-44E3-9099-C40C66FF867C}">
                  <a14:compatExt spid="_x0000_s61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33</xdr:row>
          <xdr:rowOff>144780</xdr:rowOff>
        </xdr:from>
        <xdr:to>
          <xdr:col>3</xdr:col>
          <xdr:colOff>236220</xdr:colOff>
          <xdr:row>34</xdr:row>
          <xdr:rowOff>175260</xdr:rowOff>
        </xdr:to>
        <xdr:sp macro="" textlink="">
          <xdr:nvSpPr>
            <xdr:cNvPr id="6185" name="Check Box 41" hidden="1">
              <a:extLst>
                <a:ext uri="{63B3BB69-23CF-44E3-9099-C40C66FF867C}">
                  <a14:compatExt spid="_x0000_s61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33</xdr:row>
          <xdr:rowOff>144780</xdr:rowOff>
        </xdr:from>
        <xdr:to>
          <xdr:col>3</xdr:col>
          <xdr:colOff>236220</xdr:colOff>
          <xdr:row>34</xdr:row>
          <xdr:rowOff>175260</xdr:rowOff>
        </xdr:to>
        <xdr:sp macro="" textlink="">
          <xdr:nvSpPr>
            <xdr:cNvPr id="6186" name="Check Box 42" hidden="1">
              <a:extLst>
                <a:ext uri="{63B3BB69-23CF-44E3-9099-C40C66FF867C}">
                  <a14:compatExt spid="_x0000_s61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34</xdr:row>
          <xdr:rowOff>144780</xdr:rowOff>
        </xdr:from>
        <xdr:to>
          <xdr:col>3</xdr:col>
          <xdr:colOff>236220</xdr:colOff>
          <xdr:row>35</xdr:row>
          <xdr:rowOff>175260</xdr:rowOff>
        </xdr:to>
        <xdr:sp macro="" textlink="">
          <xdr:nvSpPr>
            <xdr:cNvPr id="6187" name="Check Box 43" hidden="1">
              <a:extLst>
                <a:ext uri="{63B3BB69-23CF-44E3-9099-C40C66FF867C}">
                  <a14:compatExt spid="_x0000_s61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34</xdr:row>
          <xdr:rowOff>144780</xdr:rowOff>
        </xdr:from>
        <xdr:to>
          <xdr:col>3</xdr:col>
          <xdr:colOff>236220</xdr:colOff>
          <xdr:row>35</xdr:row>
          <xdr:rowOff>175260</xdr:rowOff>
        </xdr:to>
        <xdr:sp macro="" textlink="">
          <xdr:nvSpPr>
            <xdr:cNvPr id="6188" name="Check Box 44" hidden="1">
              <a:extLst>
                <a:ext uri="{63B3BB69-23CF-44E3-9099-C40C66FF867C}">
                  <a14:compatExt spid="_x0000_s61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35</xdr:row>
          <xdr:rowOff>144780</xdr:rowOff>
        </xdr:from>
        <xdr:to>
          <xdr:col>3</xdr:col>
          <xdr:colOff>236220</xdr:colOff>
          <xdr:row>36</xdr:row>
          <xdr:rowOff>175260</xdr:rowOff>
        </xdr:to>
        <xdr:sp macro="" textlink="">
          <xdr:nvSpPr>
            <xdr:cNvPr id="6189" name="Check Box 45" hidden="1">
              <a:extLst>
                <a:ext uri="{63B3BB69-23CF-44E3-9099-C40C66FF867C}">
                  <a14:compatExt spid="_x0000_s61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35</xdr:row>
          <xdr:rowOff>144780</xdr:rowOff>
        </xdr:from>
        <xdr:to>
          <xdr:col>3</xdr:col>
          <xdr:colOff>236220</xdr:colOff>
          <xdr:row>36</xdr:row>
          <xdr:rowOff>175260</xdr:rowOff>
        </xdr:to>
        <xdr:sp macro="" textlink="">
          <xdr:nvSpPr>
            <xdr:cNvPr id="6190" name="Check Box 46" hidden="1">
              <a:extLst>
                <a:ext uri="{63B3BB69-23CF-44E3-9099-C40C66FF867C}">
                  <a14:compatExt spid="_x0000_s61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36</xdr:row>
          <xdr:rowOff>144780</xdr:rowOff>
        </xdr:from>
        <xdr:to>
          <xdr:col>3</xdr:col>
          <xdr:colOff>236220</xdr:colOff>
          <xdr:row>37</xdr:row>
          <xdr:rowOff>175260</xdr:rowOff>
        </xdr:to>
        <xdr:sp macro="" textlink="">
          <xdr:nvSpPr>
            <xdr:cNvPr id="6191" name="Check Box 47" hidden="1">
              <a:extLst>
                <a:ext uri="{63B3BB69-23CF-44E3-9099-C40C66FF867C}">
                  <a14:compatExt spid="_x0000_s61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36</xdr:row>
          <xdr:rowOff>144780</xdr:rowOff>
        </xdr:from>
        <xdr:to>
          <xdr:col>3</xdr:col>
          <xdr:colOff>236220</xdr:colOff>
          <xdr:row>37</xdr:row>
          <xdr:rowOff>175260</xdr:rowOff>
        </xdr:to>
        <xdr:sp macro="" textlink="">
          <xdr:nvSpPr>
            <xdr:cNvPr id="6192" name="Check Box 48" hidden="1">
              <a:extLst>
                <a:ext uri="{63B3BB69-23CF-44E3-9099-C40C66FF867C}">
                  <a14:compatExt spid="_x0000_s61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37</xdr:row>
          <xdr:rowOff>144780</xdr:rowOff>
        </xdr:from>
        <xdr:to>
          <xdr:col>3</xdr:col>
          <xdr:colOff>236220</xdr:colOff>
          <xdr:row>38</xdr:row>
          <xdr:rowOff>175260</xdr:rowOff>
        </xdr:to>
        <xdr:sp macro="" textlink="">
          <xdr:nvSpPr>
            <xdr:cNvPr id="6193" name="Check Box 49" hidden="1">
              <a:extLst>
                <a:ext uri="{63B3BB69-23CF-44E3-9099-C40C66FF867C}">
                  <a14:compatExt spid="_x0000_s61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22</xdr:row>
          <xdr:rowOff>144780</xdr:rowOff>
        </xdr:from>
        <xdr:to>
          <xdr:col>3</xdr:col>
          <xdr:colOff>236220</xdr:colOff>
          <xdr:row>22</xdr:row>
          <xdr:rowOff>358140</xdr:rowOff>
        </xdr:to>
        <xdr:sp macro="" textlink="">
          <xdr:nvSpPr>
            <xdr:cNvPr id="6194" name="Check Box 50" hidden="1">
              <a:extLst>
                <a:ext uri="{63B3BB69-23CF-44E3-9099-C40C66FF867C}">
                  <a14:compatExt spid="_x0000_s61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23</xdr:row>
          <xdr:rowOff>144780</xdr:rowOff>
        </xdr:from>
        <xdr:to>
          <xdr:col>3</xdr:col>
          <xdr:colOff>236220</xdr:colOff>
          <xdr:row>23</xdr:row>
          <xdr:rowOff>358140</xdr:rowOff>
        </xdr:to>
        <xdr:sp macro="" textlink="">
          <xdr:nvSpPr>
            <xdr:cNvPr id="6195" name="Check Box 51" hidden="1">
              <a:extLst>
                <a:ext uri="{63B3BB69-23CF-44E3-9099-C40C66FF867C}">
                  <a14:compatExt spid="_x0000_s61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24</xdr:row>
          <xdr:rowOff>144780</xdr:rowOff>
        </xdr:from>
        <xdr:to>
          <xdr:col>3</xdr:col>
          <xdr:colOff>236220</xdr:colOff>
          <xdr:row>24</xdr:row>
          <xdr:rowOff>358140</xdr:rowOff>
        </xdr:to>
        <xdr:sp macro="" textlink="">
          <xdr:nvSpPr>
            <xdr:cNvPr id="6196" name="Check Box 52" hidden="1">
              <a:extLst>
                <a:ext uri="{63B3BB69-23CF-44E3-9099-C40C66FF867C}">
                  <a14:compatExt spid="_x0000_s61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29</xdr:row>
          <xdr:rowOff>144780</xdr:rowOff>
        </xdr:from>
        <xdr:to>
          <xdr:col>3</xdr:col>
          <xdr:colOff>236220</xdr:colOff>
          <xdr:row>30</xdr:row>
          <xdr:rowOff>15240</xdr:rowOff>
        </xdr:to>
        <xdr:sp macro="" textlink="">
          <xdr:nvSpPr>
            <xdr:cNvPr id="6197" name="Check Box 53" hidden="1">
              <a:extLst>
                <a:ext uri="{63B3BB69-23CF-44E3-9099-C40C66FF867C}">
                  <a14:compatExt spid="_x0000_s61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29</xdr:row>
          <xdr:rowOff>144780</xdr:rowOff>
        </xdr:from>
        <xdr:to>
          <xdr:col>3</xdr:col>
          <xdr:colOff>236220</xdr:colOff>
          <xdr:row>30</xdr:row>
          <xdr:rowOff>15240</xdr:rowOff>
        </xdr:to>
        <xdr:sp macro="" textlink="">
          <xdr:nvSpPr>
            <xdr:cNvPr id="6198" name="Check Box 54" hidden="1">
              <a:extLst>
                <a:ext uri="{63B3BB69-23CF-44E3-9099-C40C66FF867C}">
                  <a14:compatExt spid="_x0000_s61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32</xdr:row>
          <xdr:rowOff>144780</xdr:rowOff>
        </xdr:from>
        <xdr:to>
          <xdr:col>3</xdr:col>
          <xdr:colOff>236220</xdr:colOff>
          <xdr:row>33</xdr:row>
          <xdr:rowOff>175260</xdr:rowOff>
        </xdr:to>
        <xdr:sp macro="" textlink="">
          <xdr:nvSpPr>
            <xdr:cNvPr id="6199" name="Check Box 55" hidden="1">
              <a:extLst>
                <a:ext uri="{63B3BB69-23CF-44E3-9099-C40C66FF867C}">
                  <a14:compatExt spid="_x0000_s61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32</xdr:row>
          <xdr:rowOff>144780</xdr:rowOff>
        </xdr:from>
        <xdr:to>
          <xdr:col>3</xdr:col>
          <xdr:colOff>236220</xdr:colOff>
          <xdr:row>33</xdr:row>
          <xdr:rowOff>175260</xdr:rowOff>
        </xdr:to>
        <xdr:sp macro="" textlink="">
          <xdr:nvSpPr>
            <xdr:cNvPr id="6200" name="Check Box 56" hidden="1">
              <a:extLst>
                <a:ext uri="{63B3BB69-23CF-44E3-9099-C40C66FF867C}">
                  <a14:compatExt spid="_x0000_s6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33</xdr:row>
          <xdr:rowOff>144780</xdr:rowOff>
        </xdr:from>
        <xdr:to>
          <xdr:col>3</xdr:col>
          <xdr:colOff>236220</xdr:colOff>
          <xdr:row>34</xdr:row>
          <xdr:rowOff>175260</xdr:rowOff>
        </xdr:to>
        <xdr:sp macro="" textlink="">
          <xdr:nvSpPr>
            <xdr:cNvPr id="6201" name="Check Box 57" hidden="1">
              <a:extLst>
                <a:ext uri="{63B3BB69-23CF-44E3-9099-C40C66FF867C}">
                  <a14:compatExt spid="_x0000_s62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33</xdr:row>
          <xdr:rowOff>144780</xdr:rowOff>
        </xdr:from>
        <xdr:to>
          <xdr:col>3</xdr:col>
          <xdr:colOff>236220</xdr:colOff>
          <xdr:row>34</xdr:row>
          <xdr:rowOff>175260</xdr:rowOff>
        </xdr:to>
        <xdr:sp macro="" textlink="">
          <xdr:nvSpPr>
            <xdr:cNvPr id="6202" name="Check Box 58" hidden="1">
              <a:extLst>
                <a:ext uri="{63B3BB69-23CF-44E3-9099-C40C66FF867C}">
                  <a14:compatExt spid="_x0000_s62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33</xdr:row>
          <xdr:rowOff>144780</xdr:rowOff>
        </xdr:from>
        <xdr:to>
          <xdr:col>3</xdr:col>
          <xdr:colOff>236220</xdr:colOff>
          <xdr:row>34</xdr:row>
          <xdr:rowOff>175260</xdr:rowOff>
        </xdr:to>
        <xdr:sp macro="" textlink="">
          <xdr:nvSpPr>
            <xdr:cNvPr id="6203" name="Check Box 59" hidden="1">
              <a:extLst>
                <a:ext uri="{63B3BB69-23CF-44E3-9099-C40C66FF867C}">
                  <a14:compatExt spid="_x0000_s62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33</xdr:row>
          <xdr:rowOff>144780</xdr:rowOff>
        </xdr:from>
        <xdr:to>
          <xdr:col>3</xdr:col>
          <xdr:colOff>236220</xdr:colOff>
          <xdr:row>34</xdr:row>
          <xdr:rowOff>175260</xdr:rowOff>
        </xdr:to>
        <xdr:sp macro="" textlink="">
          <xdr:nvSpPr>
            <xdr:cNvPr id="6204" name="Check Box 60" hidden="1">
              <a:extLst>
                <a:ext uri="{63B3BB69-23CF-44E3-9099-C40C66FF867C}">
                  <a14:compatExt spid="_x0000_s62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34</xdr:row>
          <xdr:rowOff>144780</xdr:rowOff>
        </xdr:from>
        <xdr:to>
          <xdr:col>3</xdr:col>
          <xdr:colOff>236220</xdr:colOff>
          <xdr:row>35</xdr:row>
          <xdr:rowOff>175260</xdr:rowOff>
        </xdr:to>
        <xdr:sp macro="" textlink="">
          <xdr:nvSpPr>
            <xdr:cNvPr id="6205" name="Check Box 61" hidden="1">
              <a:extLst>
                <a:ext uri="{63B3BB69-23CF-44E3-9099-C40C66FF867C}">
                  <a14:compatExt spid="_x0000_s62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34</xdr:row>
          <xdr:rowOff>144780</xdr:rowOff>
        </xdr:from>
        <xdr:to>
          <xdr:col>3</xdr:col>
          <xdr:colOff>236220</xdr:colOff>
          <xdr:row>35</xdr:row>
          <xdr:rowOff>175260</xdr:rowOff>
        </xdr:to>
        <xdr:sp macro="" textlink="">
          <xdr:nvSpPr>
            <xdr:cNvPr id="6206" name="Check Box 62" hidden="1">
              <a:extLst>
                <a:ext uri="{63B3BB69-23CF-44E3-9099-C40C66FF867C}">
                  <a14:compatExt spid="_x0000_s62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34</xdr:row>
          <xdr:rowOff>144780</xdr:rowOff>
        </xdr:from>
        <xdr:to>
          <xdr:col>3</xdr:col>
          <xdr:colOff>236220</xdr:colOff>
          <xdr:row>35</xdr:row>
          <xdr:rowOff>175260</xdr:rowOff>
        </xdr:to>
        <xdr:sp macro="" textlink="">
          <xdr:nvSpPr>
            <xdr:cNvPr id="6207" name="Check Box 63" hidden="1">
              <a:extLst>
                <a:ext uri="{63B3BB69-23CF-44E3-9099-C40C66FF867C}">
                  <a14:compatExt spid="_x0000_s62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34</xdr:row>
          <xdr:rowOff>144780</xdr:rowOff>
        </xdr:from>
        <xdr:to>
          <xdr:col>3</xdr:col>
          <xdr:colOff>236220</xdr:colOff>
          <xdr:row>35</xdr:row>
          <xdr:rowOff>175260</xdr:rowOff>
        </xdr:to>
        <xdr:sp macro="" textlink="">
          <xdr:nvSpPr>
            <xdr:cNvPr id="6208" name="Check Box 64" hidden="1">
              <a:extLst>
                <a:ext uri="{63B3BB69-23CF-44E3-9099-C40C66FF867C}">
                  <a14:compatExt spid="_x0000_s62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34</xdr:row>
          <xdr:rowOff>144780</xdr:rowOff>
        </xdr:from>
        <xdr:to>
          <xdr:col>3</xdr:col>
          <xdr:colOff>236220</xdr:colOff>
          <xdr:row>35</xdr:row>
          <xdr:rowOff>175260</xdr:rowOff>
        </xdr:to>
        <xdr:sp macro="" textlink="">
          <xdr:nvSpPr>
            <xdr:cNvPr id="6209" name="Check Box 65" hidden="1">
              <a:extLst>
                <a:ext uri="{63B3BB69-23CF-44E3-9099-C40C66FF867C}">
                  <a14:compatExt spid="_x0000_s62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34</xdr:row>
          <xdr:rowOff>144780</xdr:rowOff>
        </xdr:from>
        <xdr:to>
          <xdr:col>3</xdr:col>
          <xdr:colOff>236220</xdr:colOff>
          <xdr:row>35</xdr:row>
          <xdr:rowOff>175260</xdr:rowOff>
        </xdr:to>
        <xdr:sp macro="" textlink="">
          <xdr:nvSpPr>
            <xdr:cNvPr id="6210" name="Check Box 66" hidden="1">
              <a:extLst>
                <a:ext uri="{63B3BB69-23CF-44E3-9099-C40C66FF867C}">
                  <a14:compatExt spid="_x0000_s62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35</xdr:row>
          <xdr:rowOff>144780</xdr:rowOff>
        </xdr:from>
        <xdr:to>
          <xdr:col>3</xdr:col>
          <xdr:colOff>236220</xdr:colOff>
          <xdr:row>36</xdr:row>
          <xdr:rowOff>175260</xdr:rowOff>
        </xdr:to>
        <xdr:sp macro="" textlink="">
          <xdr:nvSpPr>
            <xdr:cNvPr id="6211" name="Check Box 67" hidden="1">
              <a:extLst>
                <a:ext uri="{63B3BB69-23CF-44E3-9099-C40C66FF867C}">
                  <a14:compatExt spid="_x0000_s62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35</xdr:row>
          <xdr:rowOff>144780</xdr:rowOff>
        </xdr:from>
        <xdr:to>
          <xdr:col>3</xdr:col>
          <xdr:colOff>236220</xdr:colOff>
          <xdr:row>36</xdr:row>
          <xdr:rowOff>175260</xdr:rowOff>
        </xdr:to>
        <xdr:sp macro="" textlink="">
          <xdr:nvSpPr>
            <xdr:cNvPr id="6212" name="Check Box 68" hidden="1">
              <a:extLst>
                <a:ext uri="{63B3BB69-23CF-44E3-9099-C40C66FF867C}">
                  <a14:compatExt spid="_x0000_s62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35</xdr:row>
          <xdr:rowOff>144780</xdr:rowOff>
        </xdr:from>
        <xdr:to>
          <xdr:col>3</xdr:col>
          <xdr:colOff>236220</xdr:colOff>
          <xdr:row>36</xdr:row>
          <xdr:rowOff>175260</xdr:rowOff>
        </xdr:to>
        <xdr:sp macro="" textlink="">
          <xdr:nvSpPr>
            <xdr:cNvPr id="6213" name="Check Box 69" hidden="1">
              <a:extLst>
                <a:ext uri="{63B3BB69-23CF-44E3-9099-C40C66FF867C}">
                  <a14:compatExt spid="_x0000_s62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35</xdr:row>
          <xdr:rowOff>144780</xdr:rowOff>
        </xdr:from>
        <xdr:to>
          <xdr:col>3</xdr:col>
          <xdr:colOff>236220</xdr:colOff>
          <xdr:row>36</xdr:row>
          <xdr:rowOff>175260</xdr:rowOff>
        </xdr:to>
        <xdr:sp macro="" textlink="">
          <xdr:nvSpPr>
            <xdr:cNvPr id="6214" name="Check Box 70" hidden="1">
              <a:extLst>
                <a:ext uri="{63B3BB69-23CF-44E3-9099-C40C66FF867C}">
                  <a14:compatExt spid="_x0000_s62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35</xdr:row>
          <xdr:rowOff>144780</xdr:rowOff>
        </xdr:from>
        <xdr:to>
          <xdr:col>3</xdr:col>
          <xdr:colOff>236220</xdr:colOff>
          <xdr:row>36</xdr:row>
          <xdr:rowOff>175260</xdr:rowOff>
        </xdr:to>
        <xdr:sp macro="" textlink="">
          <xdr:nvSpPr>
            <xdr:cNvPr id="6215" name="Check Box 71" hidden="1">
              <a:extLst>
                <a:ext uri="{63B3BB69-23CF-44E3-9099-C40C66FF867C}">
                  <a14:compatExt spid="_x0000_s62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35</xdr:row>
          <xdr:rowOff>144780</xdr:rowOff>
        </xdr:from>
        <xdr:to>
          <xdr:col>3</xdr:col>
          <xdr:colOff>236220</xdr:colOff>
          <xdr:row>36</xdr:row>
          <xdr:rowOff>175260</xdr:rowOff>
        </xdr:to>
        <xdr:sp macro="" textlink="">
          <xdr:nvSpPr>
            <xdr:cNvPr id="6216" name="Check Box 72" hidden="1">
              <a:extLst>
                <a:ext uri="{63B3BB69-23CF-44E3-9099-C40C66FF867C}">
                  <a14:compatExt spid="_x0000_s62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36</xdr:row>
          <xdr:rowOff>144780</xdr:rowOff>
        </xdr:from>
        <xdr:to>
          <xdr:col>3</xdr:col>
          <xdr:colOff>236220</xdr:colOff>
          <xdr:row>37</xdr:row>
          <xdr:rowOff>175260</xdr:rowOff>
        </xdr:to>
        <xdr:sp macro="" textlink="">
          <xdr:nvSpPr>
            <xdr:cNvPr id="6217" name="Check Box 73" hidden="1">
              <a:extLst>
                <a:ext uri="{63B3BB69-23CF-44E3-9099-C40C66FF867C}">
                  <a14:compatExt spid="_x0000_s62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36</xdr:row>
          <xdr:rowOff>144780</xdr:rowOff>
        </xdr:from>
        <xdr:to>
          <xdr:col>3</xdr:col>
          <xdr:colOff>236220</xdr:colOff>
          <xdr:row>37</xdr:row>
          <xdr:rowOff>175260</xdr:rowOff>
        </xdr:to>
        <xdr:sp macro="" textlink="">
          <xdr:nvSpPr>
            <xdr:cNvPr id="6218" name="Check Box 74" hidden="1">
              <a:extLst>
                <a:ext uri="{63B3BB69-23CF-44E3-9099-C40C66FF867C}">
                  <a14:compatExt spid="_x0000_s62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36</xdr:row>
          <xdr:rowOff>144780</xdr:rowOff>
        </xdr:from>
        <xdr:to>
          <xdr:col>3</xdr:col>
          <xdr:colOff>236220</xdr:colOff>
          <xdr:row>37</xdr:row>
          <xdr:rowOff>175260</xdr:rowOff>
        </xdr:to>
        <xdr:sp macro="" textlink="">
          <xdr:nvSpPr>
            <xdr:cNvPr id="6219" name="Check Box 75" hidden="1">
              <a:extLst>
                <a:ext uri="{63B3BB69-23CF-44E3-9099-C40C66FF867C}">
                  <a14:compatExt spid="_x0000_s62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36</xdr:row>
          <xdr:rowOff>144780</xdr:rowOff>
        </xdr:from>
        <xdr:to>
          <xdr:col>3</xdr:col>
          <xdr:colOff>236220</xdr:colOff>
          <xdr:row>37</xdr:row>
          <xdr:rowOff>175260</xdr:rowOff>
        </xdr:to>
        <xdr:sp macro="" textlink="">
          <xdr:nvSpPr>
            <xdr:cNvPr id="6220" name="Check Box 76" hidden="1">
              <a:extLst>
                <a:ext uri="{63B3BB69-23CF-44E3-9099-C40C66FF867C}">
                  <a14:compatExt spid="_x0000_s62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36</xdr:row>
          <xdr:rowOff>144780</xdr:rowOff>
        </xdr:from>
        <xdr:to>
          <xdr:col>3</xdr:col>
          <xdr:colOff>236220</xdr:colOff>
          <xdr:row>37</xdr:row>
          <xdr:rowOff>175260</xdr:rowOff>
        </xdr:to>
        <xdr:sp macro="" textlink="">
          <xdr:nvSpPr>
            <xdr:cNvPr id="6221" name="Check Box 77" hidden="1">
              <a:extLst>
                <a:ext uri="{63B3BB69-23CF-44E3-9099-C40C66FF867C}">
                  <a14:compatExt spid="_x0000_s62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36</xdr:row>
          <xdr:rowOff>144780</xdr:rowOff>
        </xdr:from>
        <xdr:to>
          <xdr:col>3</xdr:col>
          <xdr:colOff>236220</xdr:colOff>
          <xdr:row>37</xdr:row>
          <xdr:rowOff>175260</xdr:rowOff>
        </xdr:to>
        <xdr:sp macro="" textlink="">
          <xdr:nvSpPr>
            <xdr:cNvPr id="6222" name="Check Box 78" hidden="1">
              <a:extLst>
                <a:ext uri="{63B3BB69-23CF-44E3-9099-C40C66FF867C}">
                  <a14:compatExt spid="_x0000_s62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37</xdr:row>
          <xdr:rowOff>144780</xdr:rowOff>
        </xdr:from>
        <xdr:to>
          <xdr:col>3</xdr:col>
          <xdr:colOff>236220</xdr:colOff>
          <xdr:row>38</xdr:row>
          <xdr:rowOff>175260</xdr:rowOff>
        </xdr:to>
        <xdr:sp macro="" textlink="">
          <xdr:nvSpPr>
            <xdr:cNvPr id="6223" name="Check Box 79" hidden="1">
              <a:extLst>
                <a:ext uri="{63B3BB69-23CF-44E3-9099-C40C66FF867C}">
                  <a14:compatExt spid="_x0000_s62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37</xdr:row>
          <xdr:rowOff>144780</xdr:rowOff>
        </xdr:from>
        <xdr:to>
          <xdr:col>3</xdr:col>
          <xdr:colOff>236220</xdr:colOff>
          <xdr:row>38</xdr:row>
          <xdr:rowOff>175260</xdr:rowOff>
        </xdr:to>
        <xdr:sp macro="" textlink="">
          <xdr:nvSpPr>
            <xdr:cNvPr id="6224" name="Check Box 80" hidden="1">
              <a:extLst>
                <a:ext uri="{63B3BB69-23CF-44E3-9099-C40C66FF867C}">
                  <a14:compatExt spid="_x0000_s62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37</xdr:row>
          <xdr:rowOff>144780</xdr:rowOff>
        </xdr:from>
        <xdr:to>
          <xdr:col>3</xdr:col>
          <xdr:colOff>236220</xdr:colOff>
          <xdr:row>38</xdr:row>
          <xdr:rowOff>175260</xdr:rowOff>
        </xdr:to>
        <xdr:sp macro="" textlink="">
          <xdr:nvSpPr>
            <xdr:cNvPr id="6225" name="Check Box 81" hidden="1">
              <a:extLst>
                <a:ext uri="{63B3BB69-23CF-44E3-9099-C40C66FF867C}">
                  <a14:compatExt spid="_x0000_s62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281940</xdr:colOff>
          <xdr:row>37</xdr:row>
          <xdr:rowOff>144780</xdr:rowOff>
        </xdr:from>
        <xdr:to>
          <xdr:col>3</xdr:col>
          <xdr:colOff>236220</xdr:colOff>
          <xdr:row>38</xdr:row>
          <xdr:rowOff>175260</xdr:rowOff>
        </xdr:to>
        <xdr:sp macro="" textlink="">
          <xdr:nvSpPr>
            <xdr:cNvPr id="6226" name="Check Box 82" hidden="1">
              <a:extLst>
                <a:ext uri="{63B3BB69-23CF-44E3-9099-C40C66FF867C}">
                  <a14:compatExt spid="_x0000_s62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274320</xdr:colOff>
          <xdr:row>27</xdr:row>
          <xdr:rowOff>0</xdr:rowOff>
        </xdr:from>
        <xdr:to>
          <xdr:col>3</xdr:col>
          <xdr:colOff>228600</xdr:colOff>
          <xdr:row>27</xdr:row>
          <xdr:rowOff>213360</xdr:rowOff>
        </xdr:to>
        <xdr:sp macro="" textlink="">
          <xdr:nvSpPr>
            <xdr:cNvPr id="6227" name="Check Box 83" hidden="1">
              <a:extLst>
                <a:ext uri="{63B3BB69-23CF-44E3-9099-C40C66FF867C}">
                  <a14:compatExt spid="_x0000_s62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3</xdr:col>
      <xdr:colOff>723900</xdr:colOff>
      <xdr:row>11</xdr:row>
      <xdr:rowOff>140970</xdr:rowOff>
    </xdr:from>
    <xdr:ext cx="65" cy="172227"/>
    <xdr:sp macro="" textlink="">
      <xdr:nvSpPr>
        <xdr:cNvPr id="2" name="TextBox 1"/>
        <xdr:cNvSpPr txBox="1"/>
      </xdr:nvSpPr>
      <xdr:spPr>
        <a:xfrm>
          <a:off x="6758940" y="231267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3</xdr:col>
      <xdr:colOff>723900</xdr:colOff>
      <xdr:row>5</xdr:row>
      <xdr:rowOff>80010</xdr:rowOff>
    </xdr:from>
    <xdr:ext cx="65" cy="172227"/>
    <xdr:sp macro="" textlink="">
      <xdr:nvSpPr>
        <xdr:cNvPr id="3" name="TextBox 2"/>
        <xdr:cNvSpPr txBox="1"/>
      </xdr:nvSpPr>
      <xdr:spPr>
        <a:xfrm>
          <a:off x="6758940" y="231267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11</xdr:col>
      <xdr:colOff>342900</xdr:colOff>
      <xdr:row>1</xdr:row>
      <xdr:rowOff>0</xdr:rowOff>
    </xdr:from>
    <xdr:to>
      <xdr:col>19</xdr:col>
      <xdr:colOff>503820</xdr:colOff>
      <xdr:row>18</xdr:row>
      <xdr:rowOff>8700</xdr:rowOff>
    </xdr:to>
    <xdr:graphicFrame macro="">
      <xdr:nvGraphicFramePr>
        <xdr:cNvPr id="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510540</xdr:colOff>
      <xdr:row>18</xdr:row>
      <xdr:rowOff>60960</xdr:rowOff>
    </xdr:from>
    <xdr:to>
      <xdr:col>20</xdr:col>
      <xdr:colOff>77100</xdr:colOff>
      <xdr:row>29</xdr:row>
      <xdr:rowOff>61860</xdr:rowOff>
    </xdr:to>
    <xdr:graphicFrame macro="">
      <xdr:nvGraphicFramePr>
        <xdr:cNvPr id="9"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4.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7" Type="http://schemas.openxmlformats.org/officeDocument/2006/relationships/ctrlProp" Target="../ctrlProps/ctrlProp5.xml"/><Relationship Id="rId71" Type="http://schemas.openxmlformats.org/officeDocument/2006/relationships/ctrlProp" Target="../ctrlProps/ctrlProp69.xml"/><Relationship Id="rId2" Type="http://schemas.openxmlformats.org/officeDocument/2006/relationships/vmlDrawing" Target="../drawings/vmlDrawing1.vml"/><Relationship Id="rId16" Type="http://schemas.openxmlformats.org/officeDocument/2006/relationships/ctrlProp" Target="../ctrlProps/ctrlProp14.xml"/><Relationship Id="rId29" Type="http://schemas.openxmlformats.org/officeDocument/2006/relationships/ctrlProp" Target="../ctrlProps/ctrlProp27.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66" Type="http://schemas.openxmlformats.org/officeDocument/2006/relationships/ctrlProp" Target="../ctrlProps/ctrlProp64.xml"/><Relationship Id="rId5" Type="http://schemas.openxmlformats.org/officeDocument/2006/relationships/ctrlProp" Target="../ctrlProps/ctrlProp3.xml"/><Relationship Id="rId61" Type="http://schemas.openxmlformats.org/officeDocument/2006/relationships/ctrlProp" Target="../ctrlProps/ctrlProp59.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8" Type="http://schemas.openxmlformats.org/officeDocument/2006/relationships/ctrlProp" Target="../ctrlProps/ctrlProp6.xml"/><Relationship Id="rId51" Type="http://schemas.openxmlformats.org/officeDocument/2006/relationships/ctrlProp" Target="../ctrlProps/ctrlProp49.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 Id="rId1" Type="http://schemas.openxmlformats.org/officeDocument/2006/relationships/drawing" Target="../drawings/drawing1.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D38"/>
  <sheetViews>
    <sheetView topLeftCell="A22" workbookViewId="0">
      <selection activeCell="B25" sqref="B25"/>
    </sheetView>
  </sheetViews>
  <sheetFormatPr defaultColWidth="28.109375" defaultRowHeight="14.4" x14ac:dyDescent="0.3"/>
  <cols>
    <col min="1" max="1" width="34.44140625" style="1" customWidth="1"/>
    <col min="2" max="2" width="55.21875" style="1" customWidth="1"/>
    <col min="3" max="3" width="11" style="1" customWidth="1"/>
    <col min="4" max="4" width="28.109375" style="21"/>
  </cols>
  <sheetData>
    <row r="1" spans="1:4" ht="17.399999999999999" x14ac:dyDescent="0.3">
      <c r="A1" s="32" t="s">
        <v>449</v>
      </c>
      <c r="B1" s="32"/>
      <c r="C1" s="32"/>
      <c r="D1" s="32"/>
    </row>
    <row r="2" spans="1:4" x14ac:dyDescent="0.3">
      <c r="A2" s="2" t="s">
        <v>11</v>
      </c>
      <c r="B2" s="2" t="s">
        <v>12</v>
      </c>
      <c r="C2" s="2"/>
      <c r="D2" s="22"/>
    </row>
    <row r="3" spans="1:4" x14ac:dyDescent="0.3">
      <c r="A3" s="3" t="s">
        <v>19</v>
      </c>
      <c r="B3" s="14"/>
      <c r="C3" s="14"/>
      <c r="D3" s="26"/>
    </row>
    <row r="4" spans="1:4" ht="39.6" x14ac:dyDescent="0.3">
      <c r="A4" s="4" t="s">
        <v>1</v>
      </c>
      <c r="B4" s="4" t="s">
        <v>391</v>
      </c>
      <c r="C4" s="25"/>
      <c r="D4" s="28"/>
    </row>
    <row r="5" spans="1:4" ht="66" x14ac:dyDescent="0.3">
      <c r="A5" s="4" t="s">
        <v>21</v>
      </c>
      <c r="B5" s="4" t="s">
        <v>400</v>
      </c>
      <c r="C5" s="25"/>
      <c r="D5" s="23" t="s">
        <v>451</v>
      </c>
    </row>
    <row r="6" spans="1:4" ht="39.6" x14ac:dyDescent="0.3">
      <c r="A6" s="4" t="s">
        <v>404</v>
      </c>
      <c r="B6" s="4" t="s">
        <v>403</v>
      </c>
      <c r="C6" s="25"/>
      <c r="D6" s="29" t="s">
        <v>452</v>
      </c>
    </row>
    <row r="7" spans="1:4" ht="66" x14ac:dyDescent="0.3">
      <c r="A7" s="4" t="s">
        <v>106</v>
      </c>
      <c r="B7" s="16" t="s">
        <v>421</v>
      </c>
      <c r="C7" s="25"/>
      <c r="D7" s="23"/>
    </row>
    <row r="8" spans="1:4" ht="39.6" x14ac:dyDescent="0.3">
      <c r="A8" s="4" t="s">
        <v>112</v>
      </c>
      <c r="B8" s="16" t="s">
        <v>435</v>
      </c>
      <c r="C8" s="25"/>
      <c r="D8" s="23"/>
    </row>
    <row r="9" spans="1:4" ht="39.6" x14ac:dyDescent="0.3">
      <c r="A9" s="4" t="s">
        <v>423</v>
      </c>
      <c r="B9" s="16" t="s">
        <v>424</v>
      </c>
      <c r="C9" s="4"/>
      <c r="D9" s="27"/>
    </row>
    <row r="10" spans="1:4" ht="66" x14ac:dyDescent="0.3">
      <c r="A10" s="4" t="s">
        <v>24</v>
      </c>
      <c r="B10" s="4" t="s">
        <v>409</v>
      </c>
      <c r="C10" s="20"/>
      <c r="D10" s="23"/>
    </row>
    <row r="11" spans="1:4" x14ac:dyDescent="0.3">
      <c r="A11" s="33" t="s">
        <v>31</v>
      </c>
      <c r="B11" s="33"/>
      <c r="C11" s="33"/>
      <c r="D11" s="33"/>
    </row>
    <row r="12" spans="1:4" ht="39.6" x14ac:dyDescent="0.3">
      <c r="A12" s="4" t="s">
        <v>32</v>
      </c>
      <c r="B12" s="4" t="s">
        <v>437</v>
      </c>
      <c r="C12" s="20"/>
      <c r="D12" s="23" t="s">
        <v>457</v>
      </c>
    </row>
    <row r="13" spans="1:4" ht="26.4" x14ac:dyDescent="0.3">
      <c r="A13" s="4" t="s">
        <v>440</v>
      </c>
      <c r="B13" s="4" t="s">
        <v>439</v>
      </c>
      <c r="C13" s="20"/>
      <c r="D13" s="23"/>
    </row>
    <row r="14" spans="1:4" ht="38.4" customHeight="1" x14ac:dyDescent="0.3">
      <c r="A14" s="4" t="s">
        <v>442</v>
      </c>
      <c r="B14" s="16" t="s">
        <v>444</v>
      </c>
      <c r="C14" s="20"/>
      <c r="D14" s="23"/>
    </row>
    <row r="15" spans="1:4" ht="26.4" x14ac:dyDescent="0.3">
      <c r="A15" s="4" t="s">
        <v>445</v>
      </c>
      <c r="B15" s="16" t="s">
        <v>446</v>
      </c>
      <c r="C15" s="20"/>
      <c r="D15" s="23"/>
    </row>
    <row r="16" spans="1:4" ht="52.8" x14ac:dyDescent="0.3">
      <c r="A16" s="4" t="s">
        <v>38</v>
      </c>
      <c r="B16" s="4" t="s">
        <v>413</v>
      </c>
      <c r="C16" s="20"/>
      <c r="D16" s="23"/>
    </row>
    <row r="17" spans="1:4" ht="52.8" x14ac:dyDescent="0.3">
      <c r="A17" s="4" t="s">
        <v>43</v>
      </c>
      <c r="B17" s="4" t="s">
        <v>415</v>
      </c>
      <c r="C17" s="20"/>
      <c r="D17" s="23"/>
    </row>
    <row r="18" spans="1:4" ht="54.6" customHeight="1" x14ac:dyDescent="0.3">
      <c r="A18" s="4" t="s">
        <v>49</v>
      </c>
      <c r="B18" s="4" t="s">
        <v>50</v>
      </c>
      <c r="C18" s="20"/>
      <c r="D18" s="24" t="s">
        <v>453</v>
      </c>
    </row>
    <row r="19" spans="1:4" ht="17.399999999999999" x14ac:dyDescent="0.3">
      <c r="A19" s="34" t="s">
        <v>55</v>
      </c>
      <c r="B19" s="34"/>
      <c r="C19" s="34"/>
      <c r="D19" s="34"/>
    </row>
    <row r="20" spans="1:4" x14ac:dyDescent="0.3">
      <c r="A20" s="30" t="s">
        <v>56</v>
      </c>
      <c r="B20" s="31"/>
      <c r="C20" s="31"/>
      <c r="D20" s="31"/>
    </row>
    <row r="21" spans="1:4" ht="52.8" x14ac:dyDescent="0.3">
      <c r="A21" s="4" t="s">
        <v>0</v>
      </c>
      <c r="B21" s="4" t="s">
        <v>416</v>
      </c>
      <c r="C21" s="20"/>
      <c r="D21" s="23"/>
    </row>
    <row r="22" spans="1:4" ht="52.8" x14ac:dyDescent="0.3">
      <c r="A22" s="4" t="s">
        <v>60</v>
      </c>
      <c r="B22" s="4" t="s">
        <v>418</v>
      </c>
      <c r="C22" s="20"/>
      <c r="D22" s="23"/>
    </row>
    <row r="23" spans="1:4" ht="30" customHeight="1" x14ac:dyDescent="0.3">
      <c r="A23" s="4" t="s">
        <v>62</v>
      </c>
      <c r="B23" s="4" t="s">
        <v>432</v>
      </c>
      <c r="C23" s="20"/>
      <c r="D23" s="23" t="s">
        <v>454</v>
      </c>
    </row>
    <row r="24" spans="1:4" ht="66" x14ac:dyDescent="0.3">
      <c r="A24" s="4" t="s">
        <v>67</v>
      </c>
      <c r="B24" s="4" t="s">
        <v>68</v>
      </c>
      <c r="C24" s="20"/>
      <c r="D24" s="24" t="s">
        <v>453</v>
      </c>
    </row>
    <row r="25" spans="1:4" ht="66" x14ac:dyDescent="0.3">
      <c r="A25" s="4" t="s">
        <v>74</v>
      </c>
      <c r="B25" s="4" t="s">
        <v>75</v>
      </c>
      <c r="C25" s="20"/>
      <c r="D25" s="24" t="s">
        <v>453</v>
      </c>
    </row>
    <row r="26" spans="1:4" x14ac:dyDescent="0.3">
      <c r="A26" s="3" t="s">
        <v>81</v>
      </c>
      <c r="B26" s="3"/>
      <c r="C26" s="3"/>
      <c r="D26" s="23"/>
    </row>
    <row r="27" spans="1:4" x14ac:dyDescent="0.3">
      <c r="A27" s="4" t="s">
        <v>82</v>
      </c>
      <c r="B27" s="4" t="s">
        <v>83</v>
      </c>
      <c r="C27" s="4"/>
      <c r="D27" s="23" t="s">
        <v>455</v>
      </c>
    </row>
    <row r="28" spans="1:4" ht="39.6" x14ac:dyDescent="0.3">
      <c r="A28" s="4" t="s">
        <v>89</v>
      </c>
      <c r="B28" s="16" t="s">
        <v>420</v>
      </c>
      <c r="C28" s="16"/>
      <c r="D28" s="23" t="s">
        <v>459</v>
      </c>
    </row>
    <row r="29" spans="1:4" ht="33" customHeight="1" x14ac:dyDescent="0.3">
      <c r="A29" s="4" t="s">
        <v>93</v>
      </c>
      <c r="B29" s="4" t="s">
        <v>94</v>
      </c>
      <c r="C29" s="4"/>
      <c r="D29" s="23" t="s">
        <v>459</v>
      </c>
    </row>
    <row r="30" spans="1:4" ht="27" customHeight="1" x14ac:dyDescent="0.3">
      <c r="A30" s="4" t="s">
        <v>99</v>
      </c>
      <c r="B30" s="4" t="s">
        <v>100</v>
      </c>
      <c r="C30" s="4"/>
      <c r="D30" s="23" t="s">
        <v>459</v>
      </c>
    </row>
    <row r="31" spans="1:4" ht="26.4" x14ac:dyDescent="0.3">
      <c r="A31" s="4" t="s">
        <v>112</v>
      </c>
      <c r="B31" s="4" t="s">
        <v>113</v>
      </c>
      <c r="C31" s="16" t="s">
        <v>450</v>
      </c>
      <c r="D31" s="23"/>
    </row>
    <row r="32" spans="1:4" x14ac:dyDescent="0.3">
      <c r="A32" s="3" t="s">
        <v>118</v>
      </c>
      <c r="B32" s="3"/>
      <c r="C32" s="3"/>
      <c r="D32" s="23"/>
    </row>
    <row r="33" spans="1:4" x14ac:dyDescent="0.3">
      <c r="A33" s="4" t="s">
        <v>119</v>
      </c>
      <c r="B33" s="4" t="s">
        <v>120</v>
      </c>
      <c r="C33" s="4"/>
      <c r="D33" s="23" t="s">
        <v>456</v>
      </c>
    </row>
    <row r="34" spans="1:4" x14ac:dyDescent="0.3">
      <c r="A34" s="4" t="s">
        <v>122</v>
      </c>
      <c r="B34" s="4" t="s">
        <v>123</v>
      </c>
      <c r="C34" s="4"/>
      <c r="D34" s="23" t="s">
        <v>456</v>
      </c>
    </row>
    <row r="35" spans="1:4" x14ac:dyDescent="0.3">
      <c r="A35" s="4" t="s">
        <v>125</v>
      </c>
      <c r="B35" s="4" t="s">
        <v>126</v>
      </c>
      <c r="C35" s="4"/>
      <c r="D35" s="23" t="s">
        <v>456</v>
      </c>
    </row>
    <row r="36" spans="1:4" x14ac:dyDescent="0.3">
      <c r="A36" s="4" t="s">
        <v>128</v>
      </c>
      <c r="B36" s="4" t="s">
        <v>129</v>
      </c>
      <c r="C36" s="4"/>
      <c r="D36" s="23" t="s">
        <v>456</v>
      </c>
    </row>
    <row r="37" spans="1:4" x14ac:dyDescent="0.3">
      <c r="A37" s="4" t="s">
        <v>133</v>
      </c>
      <c r="B37" s="4" t="s">
        <v>134</v>
      </c>
      <c r="C37" s="4"/>
      <c r="D37" s="23" t="s">
        <v>456</v>
      </c>
    </row>
    <row r="38" spans="1:4" x14ac:dyDescent="0.3">
      <c r="A38" s="4" t="s">
        <v>428</v>
      </c>
      <c r="B38" s="4" t="s">
        <v>429</v>
      </c>
      <c r="C38" s="4"/>
      <c r="D38" s="23" t="s">
        <v>456</v>
      </c>
    </row>
  </sheetData>
  <mergeCells count="4">
    <mergeCell ref="A20:D20"/>
    <mergeCell ref="A1:D1"/>
    <mergeCell ref="A11:D11"/>
    <mergeCell ref="A19:D19"/>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Check Box 1">
              <controlPr defaultSize="0" autoFill="0" autoLine="0" autoPict="0">
                <anchor moveWithCells="1">
                  <from>
                    <xdr:col>2</xdr:col>
                    <xdr:colOff>281940</xdr:colOff>
                    <xdr:row>5</xdr:row>
                    <xdr:rowOff>160020</xdr:rowOff>
                  </from>
                  <to>
                    <xdr:col>2</xdr:col>
                    <xdr:colOff>563880</xdr:colOff>
                    <xdr:row>5</xdr:row>
                    <xdr:rowOff>365760</xdr:rowOff>
                  </to>
                </anchor>
              </controlPr>
            </control>
          </mc:Choice>
        </mc:AlternateContent>
        <mc:AlternateContent xmlns:mc="http://schemas.openxmlformats.org/markup-compatibility/2006">
          <mc:Choice Requires="x14">
            <control shapeId="6146" r:id="rId4" name="Check Box 2">
              <controlPr defaultSize="0" autoFill="0" autoLine="0" autoPict="0">
                <anchor moveWithCells="1">
                  <from>
                    <xdr:col>2</xdr:col>
                    <xdr:colOff>281940</xdr:colOff>
                    <xdr:row>3</xdr:row>
                    <xdr:rowOff>144780</xdr:rowOff>
                  </from>
                  <to>
                    <xdr:col>3</xdr:col>
                    <xdr:colOff>236220</xdr:colOff>
                    <xdr:row>3</xdr:row>
                    <xdr:rowOff>358140</xdr:rowOff>
                  </to>
                </anchor>
              </controlPr>
            </control>
          </mc:Choice>
        </mc:AlternateContent>
        <mc:AlternateContent xmlns:mc="http://schemas.openxmlformats.org/markup-compatibility/2006">
          <mc:Choice Requires="x14">
            <control shapeId="6147" r:id="rId5" name="Check Box 3">
              <controlPr defaultSize="0" autoFill="0" autoLine="0" autoPict="0">
                <anchor moveWithCells="1">
                  <from>
                    <xdr:col>2</xdr:col>
                    <xdr:colOff>281940</xdr:colOff>
                    <xdr:row>4</xdr:row>
                    <xdr:rowOff>144780</xdr:rowOff>
                  </from>
                  <to>
                    <xdr:col>3</xdr:col>
                    <xdr:colOff>236220</xdr:colOff>
                    <xdr:row>4</xdr:row>
                    <xdr:rowOff>358140</xdr:rowOff>
                  </to>
                </anchor>
              </controlPr>
            </control>
          </mc:Choice>
        </mc:AlternateContent>
        <mc:AlternateContent xmlns:mc="http://schemas.openxmlformats.org/markup-compatibility/2006">
          <mc:Choice Requires="x14">
            <control shapeId="6148" r:id="rId6" name="Check Box 4">
              <controlPr defaultSize="0" autoFill="0" autoLine="0" autoPict="0">
                <anchor moveWithCells="1">
                  <from>
                    <xdr:col>2</xdr:col>
                    <xdr:colOff>281940</xdr:colOff>
                    <xdr:row>6</xdr:row>
                    <xdr:rowOff>144780</xdr:rowOff>
                  </from>
                  <to>
                    <xdr:col>3</xdr:col>
                    <xdr:colOff>236220</xdr:colOff>
                    <xdr:row>6</xdr:row>
                    <xdr:rowOff>358140</xdr:rowOff>
                  </to>
                </anchor>
              </controlPr>
            </control>
          </mc:Choice>
        </mc:AlternateContent>
        <mc:AlternateContent xmlns:mc="http://schemas.openxmlformats.org/markup-compatibility/2006">
          <mc:Choice Requires="x14">
            <control shapeId="6149" r:id="rId7" name="Check Box 5">
              <controlPr defaultSize="0" autoFill="0" autoLine="0" autoPict="0">
                <anchor moveWithCells="1">
                  <from>
                    <xdr:col>2</xdr:col>
                    <xdr:colOff>281940</xdr:colOff>
                    <xdr:row>6</xdr:row>
                    <xdr:rowOff>144780</xdr:rowOff>
                  </from>
                  <to>
                    <xdr:col>3</xdr:col>
                    <xdr:colOff>236220</xdr:colOff>
                    <xdr:row>6</xdr:row>
                    <xdr:rowOff>358140</xdr:rowOff>
                  </to>
                </anchor>
              </controlPr>
            </control>
          </mc:Choice>
        </mc:AlternateContent>
        <mc:AlternateContent xmlns:mc="http://schemas.openxmlformats.org/markup-compatibility/2006">
          <mc:Choice Requires="x14">
            <control shapeId="6150" r:id="rId8" name="Check Box 6">
              <controlPr defaultSize="0" autoFill="0" autoLine="0" autoPict="0">
                <anchor moveWithCells="1">
                  <from>
                    <xdr:col>2</xdr:col>
                    <xdr:colOff>281940</xdr:colOff>
                    <xdr:row>7</xdr:row>
                    <xdr:rowOff>144780</xdr:rowOff>
                  </from>
                  <to>
                    <xdr:col>3</xdr:col>
                    <xdr:colOff>236220</xdr:colOff>
                    <xdr:row>7</xdr:row>
                    <xdr:rowOff>358140</xdr:rowOff>
                  </to>
                </anchor>
              </controlPr>
            </control>
          </mc:Choice>
        </mc:AlternateContent>
        <mc:AlternateContent xmlns:mc="http://schemas.openxmlformats.org/markup-compatibility/2006">
          <mc:Choice Requires="x14">
            <control shapeId="6151" r:id="rId9" name="Check Box 7">
              <controlPr defaultSize="0" autoFill="0" autoLine="0" autoPict="0">
                <anchor moveWithCells="1">
                  <from>
                    <xdr:col>2</xdr:col>
                    <xdr:colOff>281940</xdr:colOff>
                    <xdr:row>8</xdr:row>
                    <xdr:rowOff>144780</xdr:rowOff>
                  </from>
                  <to>
                    <xdr:col>3</xdr:col>
                    <xdr:colOff>236220</xdr:colOff>
                    <xdr:row>8</xdr:row>
                    <xdr:rowOff>358140</xdr:rowOff>
                  </to>
                </anchor>
              </controlPr>
            </control>
          </mc:Choice>
        </mc:AlternateContent>
        <mc:AlternateContent xmlns:mc="http://schemas.openxmlformats.org/markup-compatibility/2006">
          <mc:Choice Requires="x14">
            <control shapeId="6152" r:id="rId10" name="Check Box 8">
              <controlPr defaultSize="0" autoFill="0" autoLine="0" autoPict="0">
                <anchor moveWithCells="1">
                  <from>
                    <xdr:col>2</xdr:col>
                    <xdr:colOff>281940</xdr:colOff>
                    <xdr:row>9</xdr:row>
                    <xdr:rowOff>144780</xdr:rowOff>
                  </from>
                  <to>
                    <xdr:col>3</xdr:col>
                    <xdr:colOff>236220</xdr:colOff>
                    <xdr:row>9</xdr:row>
                    <xdr:rowOff>358140</xdr:rowOff>
                  </to>
                </anchor>
              </controlPr>
            </control>
          </mc:Choice>
        </mc:AlternateContent>
        <mc:AlternateContent xmlns:mc="http://schemas.openxmlformats.org/markup-compatibility/2006">
          <mc:Choice Requires="x14">
            <control shapeId="6153" r:id="rId11" name="Check Box 9">
              <controlPr defaultSize="0" autoFill="0" autoLine="0" autoPict="0">
                <anchor moveWithCells="1">
                  <from>
                    <xdr:col>2</xdr:col>
                    <xdr:colOff>281940</xdr:colOff>
                    <xdr:row>11</xdr:row>
                    <xdr:rowOff>144780</xdr:rowOff>
                  </from>
                  <to>
                    <xdr:col>3</xdr:col>
                    <xdr:colOff>236220</xdr:colOff>
                    <xdr:row>11</xdr:row>
                    <xdr:rowOff>358140</xdr:rowOff>
                  </to>
                </anchor>
              </controlPr>
            </control>
          </mc:Choice>
        </mc:AlternateContent>
        <mc:AlternateContent xmlns:mc="http://schemas.openxmlformats.org/markup-compatibility/2006">
          <mc:Choice Requires="x14">
            <control shapeId="6154" r:id="rId12" name="Check Box 10">
              <controlPr defaultSize="0" autoFill="0" autoLine="0" autoPict="0">
                <anchor moveWithCells="1">
                  <from>
                    <xdr:col>2</xdr:col>
                    <xdr:colOff>281940</xdr:colOff>
                    <xdr:row>12</xdr:row>
                    <xdr:rowOff>144780</xdr:rowOff>
                  </from>
                  <to>
                    <xdr:col>3</xdr:col>
                    <xdr:colOff>236220</xdr:colOff>
                    <xdr:row>13</xdr:row>
                    <xdr:rowOff>22860</xdr:rowOff>
                  </to>
                </anchor>
              </controlPr>
            </control>
          </mc:Choice>
        </mc:AlternateContent>
        <mc:AlternateContent xmlns:mc="http://schemas.openxmlformats.org/markup-compatibility/2006">
          <mc:Choice Requires="x14">
            <control shapeId="6155" r:id="rId13" name="Check Box 11">
              <controlPr defaultSize="0" autoFill="0" autoLine="0" autoPict="0">
                <anchor moveWithCells="1">
                  <from>
                    <xdr:col>2</xdr:col>
                    <xdr:colOff>281940</xdr:colOff>
                    <xdr:row>13</xdr:row>
                    <xdr:rowOff>144780</xdr:rowOff>
                  </from>
                  <to>
                    <xdr:col>3</xdr:col>
                    <xdr:colOff>236220</xdr:colOff>
                    <xdr:row>13</xdr:row>
                    <xdr:rowOff>358140</xdr:rowOff>
                  </to>
                </anchor>
              </controlPr>
            </control>
          </mc:Choice>
        </mc:AlternateContent>
        <mc:AlternateContent xmlns:mc="http://schemas.openxmlformats.org/markup-compatibility/2006">
          <mc:Choice Requires="x14">
            <control shapeId="6156" r:id="rId14" name="Check Box 12">
              <controlPr defaultSize="0" autoFill="0" autoLine="0" autoPict="0">
                <anchor moveWithCells="1">
                  <from>
                    <xdr:col>2</xdr:col>
                    <xdr:colOff>281940</xdr:colOff>
                    <xdr:row>14</xdr:row>
                    <xdr:rowOff>144780</xdr:rowOff>
                  </from>
                  <to>
                    <xdr:col>3</xdr:col>
                    <xdr:colOff>236220</xdr:colOff>
                    <xdr:row>15</xdr:row>
                    <xdr:rowOff>22860</xdr:rowOff>
                  </to>
                </anchor>
              </controlPr>
            </control>
          </mc:Choice>
        </mc:AlternateContent>
        <mc:AlternateContent xmlns:mc="http://schemas.openxmlformats.org/markup-compatibility/2006">
          <mc:Choice Requires="x14">
            <control shapeId="6157" r:id="rId15" name="Check Box 13">
              <controlPr defaultSize="0" autoFill="0" autoLine="0" autoPict="0">
                <anchor moveWithCells="1">
                  <from>
                    <xdr:col>2</xdr:col>
                    <xdr:colOff>281940</xdr:colOff>
                    <xdr:row>15</xdr:row>
                    <xdr:rowOff>144780</xdr:rowOff>
                  </from>
                  <to>
                    <xdr:col>3</xdr:col>
                    <xdr:colOff>236220</xdr:colOff>
                    <xdr:row>15</xdr:row>
                    <xdr:rowOff>358140</xdr:rowOff>
                  </to>
                </anchor>
              </controlPr>
            </control>
          </mc:Choice>
        </mc:AlternateContent>
        <mc:AlternateContent xmlns:mc="http://schemas.openxmlformats.org/markup-compatibility/2006">
          <mc:Choice Requires="x14">
            <control shapeId="6158" r:id="rId16" name="Check Box 14">
              <controlPr defaultSize="0" autoFill="0" autoLine="0" autoPict="0">
                <anchor moveWithCells="1">
                  <from>
                    <xdr:col>2</xdr:col>
                    <xdr:colOff>281940</xdr:colOff>
                    <xdr:row>16</xdr:row>
                    <xdr:rowOff>144780</xdr:rowOff>
                  </from>
                  <to>
                    <xdr:col>3</xdr:col>
                    <xdr:colOff>236220</xdr:colOff>
                    <xdr:row>16</xdr:row>
                    <xdr:rowOff>358140</xdr:rowOff>
                  </to>
                </anchor>
              </controlPr>
            </control>
          </mc:Choice>
        </mc:AlternateContent>
        <mc:AlternateContent xmlns:mc="http://schemas.openxmlformats.org/markup-compatibility/2006">
          <mc:Choice Requires="x14">
            <control shapeId="6160" r:id="rId17" name="Check Box 16">
              <controlPr defaultSize="0" autoFill="0" autoLine="0" autoPict="0">
                <anchor moveWithCells="1">
                  <from>
                    <xdr:col>2</xdr:col>
                    <xdr:colOff>281940</xdr:colOff>
                    <xdr:row>17</xdr:row>
                    <xdr:rowOff>144780</xdr:rowOff>
                  </from>
                  <to>
                    <xdr:col>3</xdr:col>
                    <xdr:colOff>236220</xdr:colOff>
                    <xdr:row>17</xdr:row>
                    <xdr:rowOff>358140</xdr:rowOff>
                  </to>
                </anchor>
              </controlPr>
            </control>
          </mc:Choice>
        </mc:AlternateContent>
        <mc:AlternateContent xmlns:mc="http://schemas.openxmlformats.org/markup-compatibility/2006">
          <mc:Choice Requires="x14">
            <control shapeId="6164" r:id="rId18" name="Check Box 20">
              <controlPr defaultSize="0" autoFill="0" autoLine="0" autoPict="0">
                <anchor moveWithCells="1">
                  <from>
                    <xdr:col>2</xdr:col>
                    <xdr:colOff>281940</xdr:colOff>
                    <xdr:row>20</xdr:row>
                    <xdr:rowOff>144780</xdr:rowOff>
                  </from>
                  <to>
                    <xdr:col>3</xdr:col>
                    <xdr:colOff>236220</xdr:colOff>
                    <xdr:row>20</xdr:row>
                    <xdr:rowOff>358140</xdr:rowOff>
                  </to>
                </anchor>
              </controlPr>
            </control>
          </mc:Choice>
        </mc:AlternateContent>
        <mc:AlternateContent xmlns:mc="http://schemas.openxmlformats.org/markup-compatibility/2006">
          <mc:Choice Requires="x14">
            <control shapeId="6165" r:id="rId19" name="Check Box 21">
              <controlPr defaultSize="0" autoFill="0" autoLine="0" autoPict="0">
                <anchor moveWithCells="1">
                  <from>
                    <xdr:col>2</xdr:col>
                    <xdr:colOff>281940</xdr:colOff>
                    <xdr:row>21</xdr:row>
                    <xdr:rowOff>144780</xdr:rowOff>
                  </from>
                  <to>
                    <xdr:col>3</xdr:col>
                    <xdr:colOff>236220</xdr:colOff>
                    <xdr:row>21</xdr:row>
                    <xdr:rowOff>358140</xdr:rowOff>
                  </to>
                </anchor>
              </controlPr>
            </control>
          </mc:Choice>
        </mc:AlternateContent>
        <mc:AlternateContent xmlns:mc="http://schemas.openxmlformats.org/markup-compatibility/2006">
          <mc:Choice Requires="x14">
            <control shapeId="6166" r:id="rId20" name="Check Box 22">
              <controlPr defaultSize="0" autoFill="0" autoLine="0" autoPict="0">
                <anchor moveWithCells="1">
                  <from>
                    <xdr:col>2</xdr:col>
                    <xdr:colOff>281940</xdr:colOff>
                    <xdr:row>22</xdr:row>
                    <xdr:rowOff>144780</xdr:rowOff>
                  </from>
                  <to>
                    <xdr:col>3</xdr:col>
                    <xdr:colOff>236220</xdr:colOff>
                    <xdr:row>22</xdr:row>
                    <xdr:rowOff>358140</xdr:rowOff>
                  </to>
                </anchor>
              </controlPr>
            </control>
          </mc:Choice>
        </mc:AlternateContent>
        <mc:AlternateContent xmlns:mc="http://schemas.openxmlformats.org/markup-compatibility/2006">
          <mc:Choice Requires="x14">
            <control shapeId="6167" r:id="rId21" name="Check Box 23">
              <controlPr defaultSize="0" autoFill="0" autoLine="0" autoPict="0">
                <anchor moveWithCells="1">
                  <from>
                    <xdr:col>2</xdr:col>
                    <xdr:colOff>281940</xdr:colOff>
                    <xdr:row>23</xdr:row>
                    <xdr:rowOff>144780</xdr:rowOff>
                  </from>
                  <to>
                    <xdr:col>3</xdr:col>
                    <xdr:colOff>236220</xdr:colOff>
                    <xdr:row>23</xdr:row>
                    <xdr:rowOff>358140</xdr:rowOff>
                  </to>
                </anchor>
              </controlPr>
            </control>
          </mc:Choice>
        </mc:AlternateContent>
        <mc:AlternateContent xmlns:mc="http://schemas.openxmlformats.org/markup-compatibility/2006">
          <mc:Choice Requires="x14">
            <control shapeId="6168" r:id="rId22" name="Check Box 24">
              <controlPr defaultSize="0" autoFill="0" autoLine="0" autoPict="0">
                <anchor moveWithCells="1">
                  <from>
                    <xdr:col>2</xdr:col>
                    <xdr:colOff>274320</xdr:colOff>
                    <xdr:row>26</xdr:row>
                    <xdr:rowOff>0</xdr:rowOff>
                  </from>
                  <to>
                    <xdr:col>3</xdr:col>
                    <xdr:colOff>228600</xdr:colOff>
                    <xdr:row>27</xdr:row>
                    <xdr:rowOff>30480</xdr:rowOff>
                  </to>
                </anchor>
              </controlPr>
            </control>
          </mc:Choice>
        </mc:AlternateContent>
        <mc:AlternateContent xmlns:mc="http://schemas.openxmlformats.org/markup-compatibility/2006">
          <mc:Choice Requires="x14">
            <control shapeId="6175" r:id="rId23" name="Check Box 31">
              <controlPr defaultSize="0" autoFill="0" autoLine="0" autoPict="0">
                <anchor moveWithCells="1">
                  <from>
                    <xdr:col>2</xdr:col>
                    <xdr:colOff>281940</xdr:colOff>
                    <xdr:row>28</xdr:row>
                    <xdr:rowOff>144780</xdr:rowOff>
                  </from>
                  <to>
                    <xdr:col>3</xdr:col>
                    <xdr:colOff>236220</xdr:colOff>
                    <xdr:row>28</xdr:row>
                    <xdr:rowOff>358140</xdr:rowOff>
                  </to>
                </anchor>
              </controlPr>
            </control>
          </mc:Choice>
        </mc:AlternateContent>
        <mc:AlternateContent xmlns:mc="http://schemas.openxmlformats.org/markup-compatibility/2006">
          <mc:Choice Requires="x14">
            <control shapeId="6176" r:id="rId24" name="Check Box 32">
              <controlPr defaultSize="0" autoFill="0" autoLine="0" autoPict="0">
                <anchor moveWithCells="1">
                  <from>
                    <xdr:col>2</xdr:col>
                    <xdr:colOff>281940</xdr:colOff>
                    <xdr:row>28</xdr:row>
                    <xdr:rowOff>144780</xdr:rowOff>
                  </from>
                  <to>
                    <xdr:col>3</xdr:col>
                    <xdr:colOff>236220</xdr:colOff>
                    <xdr:row>28</xdr:row>
                    <xdr:rowOff>358140</xdr:rowOff>
                  </to>
                </anchor>
              </controlPr>
            </control>
          </mc:Choice>
        </mc:AlternateContent>
        <mc:AlternateContent xmlns:mc="http://schemas.openxmlformats.org/markup-compatibility/2006">
          <mc:Choice Requires="x14">
            <control shapeId="6181" r:id="rId25" name="Check Box 37">
              <controlPr defaultSize="0" autoFill="0" autoLine="0" autoPict="0">
                <anchor moveWithCells="1">
                  <from>
                    <xdr:col>2</xdr:col>
                    <xdr:colOff>281940</xdr:colOff>
                    <xdr:row>31</xdr:row>
                    <xdr:rowOff>144780</xdr:rowOff>
                  </from>
                  <to>
                    <xdr:col>3</xdr:col>
                    <xdr:colOff>236220</xdr:colOff>
                    <xdr:row>32</xdr:row>
                    <xdr:rowOff>175260</xdr:rowOff>
                  </to>
                </anchor>
              </controlPr>
            </control>
          </mc:Choice>
        </mc:AlternateContent>
        <mc:AlternateContent xmlns:mc="http://schemas.openxmlformats.org/markup-compatibility/2006">
          <mc:Choice Requires="x14">
            <control shapeId="6182" r:id="rId26" name="Check Box 38">
              <controlPr defaultSize="0" autoFill="0" autoLine="0" autoPict="0">
                <anchor moveWithCells="1">
                  <from>
                    <xdr:col>2</xdr:col>
                    <xdr:colOff>281940</xdr:colOff>
                    <xdr:row>31</xdr:row>
                    <xdr:rowOff>144780</xdr:rowOff>
                  </from>
                  <to>
                    <xdr:col>3</xdr:col>
                    <xdr:colOff>236220</xdr:colOff>
                    <xdr:row>32</xdr:row>
                    <xdr:rowOff>175260</xdr:rowOff>
                  </to>
                </anchor>
              </controlPr>
            </control>
          </mc:Choice>
        </mc:AlternateContent>
        <mc:AlternateContent xmlns:mc="http://schemas.openxmlformats.org/markup-compatibility/2006">
          <mc:Choice Requires="x14">
            <control shapeId="6183" r:id="rId27" name="Check Box 39">
              <controlPr defaultSize="0" autoFill="0" autoLine="0" autoPict="0">
                <anchor moveWithCells="1">
                  <from>
                    <xdr:col>2</xdr:col>
                    <xdr:colOff>281940</xdr:colOff>
                    <xdr:row>32</xdr:row>
                    <xdr:rowOff>144780</xdr:rowOff>
                  </from>
                  <to>
                    <xdr:col>3</xdr:col>
                    <xdr:colOff>236220</xdr:colOff>
                    <xdr:row>33</xdr:row>
                    <xdr:rowOff>175260</xdr:rowOff>
                  </to>
                </anchor>
              </controlPr>
            </control>
          </mc:Choice>
        </mc:AlternateContent>
        <mc:AlternateContent xmlns:mc="http://schemas.openxmlformats.org/markup-compatibility/2006">
          <mc:Choice Requires="x14">
            <control shapeId="6184" r:id="rId28" name="Check Box 40">
              <controlPr defaultSize="0" autoFill="0" autoLine="0" autoPict="0">
                <anchor moveWithCells="1">
                  <from>
                    <xdr:col>2</xdr:col>
                    <xdr:colOff>281940</xdr:colOff>
                    <xdr:row>32</xdr:row>
                    <xdr:rowOff>144780</xdr:rowOff>
                  </from>
                  <to>
                    <xdr:col>3</xdr:col>
                    <xdr:colOff>236220</xdr:colOff>
                    <xdr:row>33</xdr:row>
                    <xdr:rowOff>175260</xdr:rowOff>
                  </to>
                </anchor>
              </controlPr>
            </control>
          </mc:Choice>
        </mc:AlternateContent>
        <mc:AlternateContent xmlns:mc="http://schemas.openxmlformats.org/markup-compatibility/2006">
          <mc:Choice Requires="x14">
            <control shapeId="6185" r:id="rId29" name="Check Box 41">
              <controlPr defaultSize="0" autoFill="0" autoLine="0" autoPict="0">
                <anchor moveWithCells="1">
                  <from>
                    <xdr:col>2</xdr:col>
                    <xdr:colOff>281940</xdr:colOff>
                    <xdr:row>33</xdr:row>
                    <xdr:rowOff>144780</xdr:rowOff>
                  </from>
                  <to>
                    <xdr:col>3</xdr:col>
                    <xdr:colOff>236220</xdr:colOff>
                    <xdr:row>34</xdr:row>
                    <xdr:rowOff>175260</xdr:rowOff>
                  </to>
                </anchor>
              </controlPr>
            </control>
          </mc:Choice>
        </mc:AlternateContent>
        <mc:AlternateContent xmlns:mc="http://schemas.openxmlformats.org/markup-compatibility/2006">
          <mc:Choice Requires="x14">
            <control shapeId="6186" r:id="rId30" name="Check Box 42">
              <controlPr defaultSize="0" autoFill="0" autoLine="0" autoPict="0">
                <anchor moveWithCells="1">
                  <from>
                    <xdr:col>2</xdr:col>
                    <xdr:colOff>281940</xdr:colOff>
                    <xdr:row>33</xdr:row>
                    <xdr:rowOff>144780</xdr:rowOff>
                  </from>
                  <to>
                    <xdr:col>3</xdr:col>
                    <xdr:colOff>236220</xdr:colOff>
                    <xdr:row>34</xdr:row>
                    <xdr:rowOff>175260</xdr:rowOff>
                  </to>
                </anchor>
              </controlPr>
            </control>
          </mc:Choice>
        </mc:AlternateContent>
        <mc:AlternateContent xmlns:mc="http://schemas.openxmlformats.org/markup-compatibility/2006">
          <mc:Choice Requires="x14">
            <control shapeId="6187" r:id="rId31" name="Check Box 43">
              <controlPr defaultSize="0" autoFill="0" autoLine="0" autoPict="0">
                <anchor moveWithCells="1">
                  <from>
                    <xdr:col>2</xdr:col>
                    <xdr:colOff>281940</xdr:colOff>
                    <xdr:row>34</xdr:row>
                    <xdr:rowOff>144780</xdr:rowOff>
                  </from>
                  <to>
                    <xdr:col>3</xdr:col>
                    <xdr:colOff>236220</xdr:colOff>
                    <xdr:row>35</xdr:row>
                    <xdr:rowOff>175260</xdr:rowOff>
                  </to>
                </anchor>
              </controlPr>
            </control>
          </mc:Choice>
        </mc:AlternateContent>
        <mc:AlternateContent xmlns:mc="http://schemas.openxmlformats.org/markup-compatibility/2006">
          <mc:Choice Requires="x14">
            <control shapeId="6188" r:id="rId32" name="Check Box 44">
              <controlPr defaultSize="0" autoFill="0" autoLine="0" autoPict="0">
                <anchor moveWithCells="1">
                  <from>
                    <xdr:col>2</xdr:col>
                    <xdr:colOff>281940</xdr:colOff>
                    <xdr:row>34</xdr:row>
                    <xdr:rowOff>144780</xdr:rowOff>
                  </from>
                  <to>
                    <xdr:col>3</xdr:col>
                    <xdr:colOff>236220</xdr:colOff>
                    <xdr:row>35</xdr:row>
                    <xdr:rowOff>175260</xdr:rowOff>
                  </to>
                </anchor>
              </controlPr>
            </control>
          </mc:Choice>
        </mc:AlternateContent>
        <mc:AlternateContent xmlns:mc="http://schemas.openxmlformats.org/markup-compatibility/2006">
          <mc:Choice Requires="x14">
            <control shapeId="6189" r:id="rId33" name="Check Box 45">
              <controlPr defaultSize="0" autoFill="0" autoLine="0" autoPict="0">
                <anchor moveWithCells="1">
                  <from>
                    <xdr:col>2</xdr:col>
                    <xdr:colOff>281940</xdr:colOff>
                    <xdr:row>35</xdr:row>
                    <xdr:rowOff>144780</xdr:rowOff>
                  </from>
                  <to>
                    <xdr:col>3</xdr:col>
                    <xdr:colOff>236220</xdr:colOff>
                    <xdr:row>36</xdr:row>
                    <xdr:rowOff>175260</xdr:rowOff>
                  </to>
                </anchor>
              </controlPr>
            </control>
          </mc:Choice>
        </mc:AlternateContent>
        <mc:AlternateContent xmlns:mc="http://schemas.openxmlformats.org/markup-compatibility/2006">
          <mc:Choice Requires="x14">
            <control shapeId="6190" r:id="rId34" name="Check Box 46">
              <controlPr defaultSize="0" autoFill="0" autoLine="0" autoPict="0">
                <anchor moveWithCells="1">
                  <from>
                    <xdr:col>2</xdr:col>
                    <xdr:colOff>281940</xdr:colOff>
                    <xdr:row>35</xdr:row>
                    <xdr:rowOff>144780</xdr:rowOff>
                  </from>
                  <to>
                    <xdr:col>3</xdr:col>
                    <xdr:colOff>236220</xdr:colOff>
                    <xdr:row>36</xdr:row>
                    <xdr:rowOff>175260</xdr:rowOff>
                  </to>
                </anchor>
              </controlPr>
            </control>
          </mc:Choice>
        </mc:AlternateContent>
        <mc:AlternateContent xmlns:mc="http://schemas.openxmlformats.org/markup-compatibility/2006">
          <mc:Choice Requires="x14">
            <control shapeId="6191" r:id="rId35" name="Check Box 47">
              <controlPr defaultSize="0" autoFill="0" autoLine="0" autoPict="0">
                <anchor moveWithCells="1">
                  <from>
                    <xdr:col>2</xdr:col>
                    <xdr:colOff>281940</xdr:colOff>
                    <xdr:row>36</xdr:row>
                    <xdr:rowOff>144780</xdr:rowOff>
                  </from>
                  <to>
                    <xdr:col>3</xdr:col>
                    <xdr:colOff>236220</xdr:colOff>
                    <xdr:row>37</xdr:row>
                    <xdr:rowOff>175260</xdr:rowOff>
                  </to>
                </anchor>
              </controlPr>
            </control>
          </mc:Choice>
        </mc:AlternateContent>
        <mc:AlternateContent xmlns:mc="http://schemas.openxmlformats.org/markup-compatibility/2006">
          <mc:Choice Requires="x14">
            <control shapeId="6192" r:id="rId36" name="Check Box 48">
              <controlPr defaultSize="0" autoFill="0" autoLine="0" autoPict="0">
                <anchor moveWithCells="1">
                  <from>
                    <xdr:col>2</xdr:col>
                    <xdr:colOff>281940</xdr:colOff>
                    <xdr:row>36</xdr:row>
                    <xdr:rowOff>144780</xdr:rowOff>
                  </from>
                  <to>
                    <xdr:col>3</xdr:col>
                    <xdr:colOff>236220</xdr:colOff>
                    <xdr:row>37</xdr:row>
                    <xdr:rowOff>175260</xdr:rowOff>
                  </to>
                </anchor>
              </controlPr>
            </control>
          </mc:Choice>
        </mc:AlternateContent>
        <mc:AlternateContent xmlns:mc="http://schemas.openxmlformats.org/markup-compatibility/2006">
          <mc:Choice Requires="x14">
            <control shapeId="6193" r:id="rId37" name="Check Box 49">
              <controlPr defaultSize="0" autoFill="0" autoLine="0" autoPict="0">
                <anchor moveWithCells="1">
                  <from>
                    <xdr:col>2</xdr:col>
                    <xdr:colOff>281940</xdr:colOff>
                    <xdr:row>37</xdr:row>
                    <xdr:rowOff>144780</xdr:rowOff>
                  </from>
                  <to>
                    <xdr:col>3</xdr:col>
                    <xdr:colOff>236220</xdr:colOff>
                    <xdr:row>38</xdr:row>
                    <xdr:rowOff>175260</xdr:rowOff>
                  </to>
                </anchor>
              </controlPr>
            </control>
          </mc:Choice>
        </mc:AlternateContent>
        <mc:AlternateContent xmlns:mc="http://schemas.openxmlformats.org/markup-compatibility/2006">
          <mc:Choice Requires="x14">
            <control shapeId="6194" r:id="rId38" name="Check Box 50">
              <controlPr defaultSize="0" autoFill="0" autoLine="0" autoPict="0">
                <anchor moveWithCells="1">
                  <from>
                    <xdr:col>2</xdr:col>
                    <xdr:colOff>281940</xdr:colOff>
                    <xdr:row>22</xdr:row>
                    <xdr:rowOff>144780</xdr:rowOff>
                  </from>
                  <to>
                    <xdr:col>3</xdr:col>
                    <xdr:colOff>236220</xdr:colOff>
                    <xdr:row>22</xdr:row>
                    <xdr:rowOff>358140</xdr:rowOff>
                  </to>
                </anchor>
              </controlPr>
            </control>
          </mc:Choice>
        </mc:AlternateContent>
        <mc:AlternateContent xmlns:mc="http://schemas.openxmlformats.org/markup-compatibility/2006">
          <mc:Choice Requires="x14">
            <control shapeId="6195" r:id="rId39" name="Check Box 51">
              <controlPr defaultSize="0" autoFill="0" autoLine="0" autoPict="0">
                <anchor moveWithCells="1">
                  <from>
                    <xdr:col>2</xdr:col>
                    <xdr:colOff>281940</xdr:colOff>
                    <xdr:row>23</xdr:row>
                    <xdr:rowOff>144780</xdr:rowOff>
                  </from>
                  <to>
                    <xdr:col>3</xdr:col>
                    <xdr:colOff>236220</xdr:colOff>
                    <xdr:row>23</xdr:row>
                    <xdr:rowOff>358140</xdr:rowOff>
                  </to>
                </anchor>
              </controlPr>
            </control>
          </mc:Choice>
        </mc:AlternateContent>
        <mc:AlternateContent xmlns:mc="http://schemas.openxmlformats.org/markup-compatibility/2006">
          <mc:Choice Requires="x14">
            <control shapeId="6196" r:id="rId40" name="Check Box 52">
              <controlPr defaultSize="0" autoFill="0" autoLine="0" autoPict="0">
                <anchor moveWithCells="1">
                  <from>
                    <xdr:col>2</xdr:col>
                    <xdr:colOff>281940</xdr:colOff>
                    <xdr:row>24</xdr:row>
                    <xdr:rowOff>144780</xdr:rowOff>
                  </from>
                  <to>
                    <xdr:col>3</xdr:col>
                    <xdr:colOff>236220</xdr:colOff>
                    <xdr:row>24</xdr:row>
                    <xdr:rowOff>358140</xdr:rowOff>
                  </to>
                </anchor>
              </controlPr>
            </control>
          </mc:Choice>
        </mc:AlternateContent>
        <mc:AlternateContent xmlns:mc="http://schemas.openxmlformats.org/markup-compatibility/2006">
          <mc:Choice Requires="x14">
            <control shapeId="6197" r:id="rId41" name="Check Box 53">
              <controlPr defaultSize="0" autoFill="0" autoLine="0" autoPict="0">
                <anchor moveWithCells="1">
                  <from>
                    <xdr:col>2</xdr:col>
                    <xdr:colOff>281940</xdr:colOff>
                    <xdr:row>29</xdr:row>
                    <xdr:rowOff>144780</xdr:rowOff>
                  </from>
                  <to>
                    <xdr:col>3</xdr:col>
                    <xdr:colOff>236220</xdr:colOff>
                    <xdr:row>30</xdr:row>
                    <xdr:rowOff>15240</xdr:rowOff>
                  </to>
                </anchor>
              </controlPr>
            </control>
          </mc:Choice>
        </mc:AlternateContent>
        <mc:AlternateContent xmlns:mc="http://schemas.openxmlformats.org/markup-compatibility/2006">
          <mc:Choice Requires="x14">
            <control shapeId="6198" r:id="rId42" name="Check Box 54">
              <controlPr defaultSize="0" autoFill="0" autoLine="0" autoPict="0">
                <anchor moveWithCells="1">
                  <from>
                    <xdr:col>2</xdr:col>
                    <xdr:colOff>281940</xdr:colOff>
                    <xdr:row>29</xdr:row>
                    <xdr:rowOff>144780</xdr:rowOff>
                  </from>
                  <to>
                    <xdr:col>3</xdr:col>
                    <xdr:colOff>236220</xdr:colOff>
                    <xdr:row>30</xdr:row>
                    <xdr:rowOff>15240</xdr:rowOff>
                  </to>
                </anchor>
              </controlPr>
            </control>
          </mc:Choice>
        </mc:AlternateContent>
        <mc:AlternateContent xmlns:mc="http://schemas.openxmlformats.org/markup-compatibility/2006">
          <mc:Choice Requires="x14">
            <control shapeId="6199" r:id="rId43" name="Check Box 55">
              <controlPr defaultSize="0" autoFill="0" autoLine="0" autoPict="0">
                <anchor moveWithCells="1">
                  <from>
                    <xdr:col>2</xdr:col>
                    <xdr:colOff>281940</xdr:colOff>
                    <xdr:row>32</xdr:row>
                    <xdr:rowOff>144780</xdr:rowOff>
                  </from>
                  <to>
                    <xdr:col>3</xdr:col>
                    <xdr:colOff>236220</xdr:colOff>
                    <xdr:row>33</xdr:row>
                    <xdr:rowOff>175260</xdr:rowOff>
                  </to>
                </anchor>
              </controlPr>
            </control>
          </mc:Choice>
        </mc:AlternateContent>
        <mc:AlternateContent xmlns:mc="http://schemas.openxmlformats.org/markup-compatibility/2006">
          <mc:Choice Requires="x14">
            <control shapeId="6200" r:id="rId44" name="Check Box 56">
              <controlPr defaultSize="0" autoFill="0" autoLine="0" autoPict="0">
                <anchor moveWithCells="1">
                  <from>
                    <xdr:col>2</xdr:col>
                    <xdr:colOff>281940</xdr:colOff>
                    <xdr:row>32</xdr:row>
                    <xdr:rowOff>144780</xdr:rowOff>
                  </from>
                  <to>
                    <xdr:col>3</xdr:col>
                    <xdr:colOff>236220</xdr:colOff>
                    <xdr:row>33</xdr:row>
                    <xdr:rowOff>175260</xdr:rowOff>
                  </to>
                </anchor>
              </controlPr>
            </control>
          </mc:Choice>
        </mc:AlternateContent>
        <mc:AlternateContent xmlns:mc="http://schemas.openxmlformats.org/markup-compatibility/2006">
          <mc:Choice Requires="x14">
            <control shapeId="6201" r:id="rId45" name="Check Box 57">
              <controlPr defaultSize="0" autoFill="0" autoLine="0" autoPict="0">
                <anchor moveWithCells="1">
                  <from>
                    <xdr:col>2</xdr:col>
                    <xdr:colOff>281940</xdr:colOff>
                    <xdr:row>33</xdr:row>
                    <xdr:rowOff>144780</xdr:rowOff>
                  </from>
                  <to>
                    <xdr:col>3</xdr:col>
                    <xdr:colOff>236220</xdr:colOff>
                    <xdr:row>34</xdr:row>
                    <xdr:rowOff>175260</xdr:rowOff>
                  </to>
                </anchor>
              </controlPr>
            </control>
          </mc:Choice>
        </mc:AlternateContent>
        <mc:AlternateContent xmlns:mc="http://schemas.openxmlformats.org/markup-compatibility/2006">
          <mc:Choice Requires="x14">
            <control shapeId="6202" r:id="rId46" name="Check Box 58">
              <controlPr defaultSize="0" autoFill="0" autoLine="0" autoPict="0">
                <anchor moveWithCells="1">
                  <from>
                    <xdr:col>2</xdr:col>
                    <xdr:colOff>281940</xdr:colOff>
                    <xdr:row>33</xdr:row>
                    <xdr:rowOff>144780</xdr:rowOff>
                  </from>
                  <to>
                    <xdr:col>3</xdr:col>
                    <xdr:colOff>236220</xdr:colOff>
                    <xdr:row>34</xdr:row>
                    <xdr:rowOff>175260</xdr:rowOff>
                  </to>
                </anchor>
              </controlPr>
            </control>
          </mc:Choice>
        </mc:AlternateContent>
        <mc:AlternateContent xmlns:mc="http://schemas.openxmlformats.org/markup-compatibility/2006">
          <mc:Choice Requires="x14">
            <control shapeId="6203" r:id="rId47" name="Check Box 59">
              <controlPr defaultSize="0" autoFill="0" autoLine="0" autoPict="0">
                <anchor moveWithCells="1">
                  <from>
                    <xdr:col>2</xdr:col>
                    <xdr:colOff>281940</xdr:colOff>
                    <xdr:row>33</xdr:row>
                    <xdr:rowOff>144780</xdr:rowOff>
                  </from>
                  <to>
                    <xdr:col>3</xdr:col>
                    <xdr:colOff>236220</xdr:colOff>
                    <xdr:row>34</xdr:row>
                    <xdr:rowOff>175260</xdr:rowOff>
                  </to>
                </anchor>
              </controlPr>
            </control>
          </mc:Choice>
        </mc:AlternateContent>
        <mc:AlternateContent xmlns:mc="http://schemas.openxmlformats.org/markup-compatibility/2006">
          <mc:Choice Requires="x14">
            <control shapeId="6204" r:id="rId48" name="Check Box 60">
              <controlPr defaultSize="0" autoFill="0" autoLine="0" autoPict="0">
                <anchor moveWithCells="1">
                  <from>
                    <xdr:col>2</xdr:col>
                    <xdr:colOff>281940</xdr:colOff>
                    <xdr:row>33</xdr:row>
                    <xdr:rowOff>144780</xdr:rowOff>
                  </from>
                  <to>
                    <xdr:col>3</xdr:col>
                    <xdr:colOff>236220</xdr:colOff>
                    <xdr:row>34</xdr:row>
                    <xdr:rowOff>175260</xdr:rowOff>
                  </to>
                </anchor>
              </controlPr>
            </control>
          </mc:Choice>
        </mc:AlternateContent>
        <mc:AlternateContent xmlns:mc="http://schemas.openxmlformats.org/markup-compatibility/2006">
          <mc:Choice Requires="x14">
            <control shapeId="6205" r:id="rId49" name="Check Box 61">
              <controlPr defaultSize="0" autoFill="0" autoLine="0" autoPict="0">
                <anchor moveWithCells="1">
                  <from>
                    <xdr:col>2</xdr:col>
                    <xdr:colOff>281940</xdr:colOff>
                    <xdr:row>34</xdr:row>
                    <xdr:rowOff>144780</xdr:rowOff>
                  </from>
                  <to>
                    <xdr:col>3</xdr:col>
                    <xdr:colOff>236220</xdr:colOff>
                    <xdr:row>35</xdr:row>
                    <xdr:rowOff>175260</xdr:rowOff>
                  </to>
                </anchor>
              </controlPr>
            </control>
          </mc:Choice>
        </mc:AlternateContent>
        <mc:AlternateContent xmlns:mc="http://schemas.openxmlformats.org/markup-compatibility/2006">
          <mc:Choice Requires="x14">
            <control shapeId="6206" r:id="rId50" name="Check Box 62">
              <controlPr defaultSize="0" autoFill="0" autoLine="0" autoPict="0">
                <anchor moveWithCells="1">
                  <from>
                    <xdr:col>2</xdr:col>
                    <xdr:colOff>281940</xdr:colOff>
                    <xdr:row>34</xdr:row>
                    <xdr:rowOff>144780</xdr:rowOff>
                  </from>
                  <to>
                    <xdr:col>3</xdr:col>
                    <xdr:colOff>236220</xdr:colOff>
                    <xdr:row>35</xdr:row>
                    <xdr:rowOff>175260</xdr:rowOff>
                  </to>
                </anchor>
              </controlPr>
            </control>
          </mc:Choice>
        </mc:AlternateContent>
        <mc:AlternateContent xmlns:mc="http://schemas.openxmlformats.org/markup-compatibility/2006">
          <mc:Choice Requires="x14">
            <control shapeId="6207" r:id="rId51" name="Check Box 63">
              <controlPr defaultSize="0" autoFill="0" autoLine="0" autoPict="0">
                <anchor moveWithCells="1">
                  <from>
                    <xdr:col>2</xdr:col>
                    <xdr:colOff>281940</xdr:colOff>
                    <xdr:row>34</xdr:row>
                    <xdr:rowOff>144780</xdr:rowOff>
                  </from>
                  <to>
                    <xdr:col>3</xdr:col>
                    <xdr:colOff>236220</xdr:colOff>
                    <xdr:row>35</xdr:row>
                    <xdr:rowOff>175260</xdr:rowOff>
                  </to>
                </anchor>
              </controlPr>
            </control>
          </mc:Choice>
        </mc:AlternateContent>
        <mc:AlternateContent xmlns:mc="http://schemas.openxmlformats.org/markup-compatibility/2006">
          <mc:Choice Requires="x14">
            <control shapeId="6208" r:id="rId52" name="Check Box 64">
              <controlPr defaultSize="0" autoFill="0" autoLine="0" autoPict="0">
                <anchor moveWithCells="1">
                  <from>
                    <xdr:col>2</xdr:col>
                    <xdr:colOff>281940</xdr:colOff>
                    <xdr:row>34</xdr:row>
                    <xdr:rowOff>144780</xdr:rowOff>
                  </from>
                  <to>
                    <xdr:col>3</xdr:col>
                    <xdr:colOff>236220</xdr:colOff>
                    <xdr:row>35</xdr:row>
                    <xdr:rowOff>175260</xdr:rowOff>
                  </to>
                </anchor>
              </controlPr>
            </control>
          </mc:Choice>
        </mc:AlternateContent>
        <mc:AlternateContent xmlns:mc="http://schemas.openxmlformats.org/markup-compatibility/2006">
          <mc:Choice Requires="x14">
            <control shapeId="6209" r:id="rId53" name="Check Box 65">
              <controlPr defaultSize="0" autoFill="0" autoLine="0" autoPict="0">
                <anchor moveWithCells="1">
                  <from>
                    <xdr:col>2</xdr:col>
                    <xdr:colOff>281940</xdr:colOff>
                    <xdr:row>34</xdr:row>
                    <xdr:rowOff>144780</xdr:rowOff>
                  </from>
                  <to>
                    <xdr:col>3</xdr:col>
                    <xdr:colOff>236220</xdr:colOff>
                    <xdr:row>35</xdr:row>
                    <xdr:rowOff>175260</xdr:rowOff>
                  </to>
                </anchor>
              </controlPr>
            </control>
          </mc:Choice>
        </mc:AlternateContent>
        <mc:AlternateContent xmlns:mc="http://schemas.openxmlformats.org/markup-compatibility/2006">
          <mc:Choice Requires="x14">
            <control shapeId="6210" r:id="rId54" name="Check Box 66">
              <controlPr defaultSize="0" autoFill="0" autoLine="0" autoPict="0">
                <anchor moveWithCells="1">
                  <from>
                    <xdr:col>2</xdr:col>
                    <xdr:colOff>281940</xdr:colOff>
                    <xdr:row>34</xdr:row>
                    <xdr:rowOff>144780</xdr:rowOff>
                  </from>
                  <to>
                    <xdr:col>3</xdr:col>
                    <xdr:colOff>236220</xdr:colOff>
                    <xdr:row>35</xdr:row>
                    <xdr:rowOff>175260</xdr:rowOff>
                  </to>
                </anchor>
              </controlPr>
            </control>
          </mc:Choice>
        </mc:AlternateContent>
        <mc:AlternateContent xmlns:mc="http://schemas.openxmlformats.org/markup-compatibility/2006">
          <mc:Choice Requires="x14">
            <control shapeId="6211" r:id="rId55" name="Check Box 67">
              <controlPr defaultSize="0" autoFill="0" autoLine="0" autoPict="0">
                <anchor moveWithCells="1">
                  <from>
                    <xdr:col>2</xdr:col>
                    <xdr:colOff>281940</xdr:colOff>
                    <xdr:row>35</xdr:row>
                    <xdr:rowOff>144780</xdr:rowOff>
                  </from>
                  <to>
                    <xdr:col>3</xdr:col>
                    <xdr:colOff>236220</xdr:colOff>
                    <xdr:row>36</xdr:row>
                    <xdr:rowOff>175260</xdr:rowOff>
                  </to>
                </anchor>
              </controlPr>
            </control>
          </mc:Choice>
        </mc:AlternateContent>
        <mc:AlternateContent xmlns:mc="http://schemas.openxmlformats.org/markup-compatibility/2006">
          <mc:Choice Requires="x14">
            <control shapeId="6212" r:id="rId56" name="Check Box 68">
              <controlPr defaultSize="0" autoFill="0" autoLine="0" autoPict="0">
                <anchor moveWithCells="1">
                  <from>
                    <xdr:col>2</xdr:col>
                    <xdr:colOff>281940</xdr:colOff>
                    <xdr:row>35</xdr:row>
                    <xdr:rowOff>144780</xdr:rowOff>
                  </from>
                  <to>
                    <xdr:col>3</xdr:col>
                    <xdr:colOff>236220</xdr:colOff>
                    <xdr:row>36</xdr:row>
                    <xdr:rowOff>175260</xdr:rowOff>
                  </to>
                </anchor>
              </controlPr>
            </control>
          </mc:Choice>
        </mc:AlternateContent>
        <mc:AlternateContent xmlns:mc="http://schemas.openxmlformats.org/markup-compatibility/2006">
          <mc:Choice Requires="x14">
            <control shapeId="6213" r:id="rId57" name="Check Box 69">
              <controlPr defaultSize="0" autoFill="0" autoLine="0" autoPict="0">
                <anchor moveWithCells="1">
                  <from>
                    <xdr:col>2</xdr:col>
                    <xdr:colOff>281940</xdr:colOff>
                    <xdr:row>35</xdr:row>
                    <xdr:rowOff>144780</xdr:rowOff>
                  </from>
                  <to>
                    <xdr:col>3</xdr:col>
                    <xdr:colOff>236220</xdr:colOff>
                    <xdr:row>36</xdr:row>
                    <xdr:rowOff>175260</xdr:rowOff>
                  </to>
                </anchor>
              </controlPr>
            </control>
          </mc:Choice>
        </mc:AlternateContent>
        <mc:AlternateContent xmlns:mc="http://schemas.openxmlformats.org/markup-compatibility/2006">
          <mc:Choice Requires="x14">
            <control shapeId="6214" r:id="rId58" name="Check Box 70">
              <controlPr defaultSize="0" autoFill="0" autoLine="0" autoPict="0">
                <anchor moveWithCells="1">
                  <from>
                    <xdr:col>2</xdr:col>
                    <xdr:colOff>281940</xdr:colOff>
                    <xdr:row>35</xdr:row>
                    <xdr:rowOff>144780</xdr:rowOff>
                  </from>
                  <to>
                    <xdr:col>3</xdr:col>
                    <xdr:colOff>236220</xdr:colOff>
                    <xdr:row>36</xdr:row>
                    <xdr:rowOff>175260</xdr:rowOff>
                  </to>
                </anchor>
              </controlPr>
            </control>
          </mc:Choice>
        </mc:AlternateContent>
        <mc:AlternateContent xmlns:mc="http://schemas.openxmlformats.org/markup-compatibility/2006">
          <mc:Choice Requires="x14">
            <control shapeId="6215" r:id="rId59" name="Check Box 71">
              <controlPr defaultSize="0" autoFill="0" autoLine="0" autoPict="0">
                <anchor moveWithCells="1">
                  <from>
                    <xdr:col>2</xdr:col>
                    <xdr:colOff>281940</xdr:colOff>
                    <xdr:row>35</xdr:row>
                    <xdr:rowOff>144780</xdr:rowOff>
                  </from>
                  <to>
                    <xdr:col>3</xdr:col>
                    <xdr:colOff>236220</xdr:colOff>
                    <xdr:row>36</xdr:row>
                    <xdr:rowOff>175260</xdr:rowOff>
                  </to>
                </anchor>
              </controlPr>
            </control>
          </mc:Choice>
        </mc:AlternateContent>
        <mc:AlternateContent xmlns:mc="http://schemas.openxmlformats.org/markup-compatibility/2006">
          <mc:Choice Requires="x14">
            <control shapeId="6216" r:id="rId60" name="Check Box 72">
              <controlPr defaultSize="0" autoFill="0" autoLine="0" autoPict="0">
                <anchor moveWithCells="1">
                  <from>
                    <xdr:col>2</xdr:col>
                    <xdr:colOff>281940</xdr:colOff>
                    <xdr:row>35</xdr:row>
                    <xdr:rowOff>144780</xdr:rowOff>
                  </from>
                  <to>
                    <xdr:col>3</xdr:col>
                    <xdr:colOff>236220</xdr:colOff>
                    <xdr:row>36</xdr:row>
                    <xdr:rowOff>175260</xdr:rowOff>
                  </to>
                </anchor>
              </controlPr>
            </control>
          </mc:Choice>
        </mc:AlternateContent>
        <mc:AlternateContent xmlns:mc="http://schemas.openxmlformats.org/markup-compatibility/2006">
          <mc:Choice Requires="x14">
            <control shapeId="6217" r:id="rId61" name="Check Box 73">
              <controlPr defaultSize="0" autoFill="0" autoLine="0" autoPict="0">
                <anchor moveWithCells="1">
                  <from>
                    <xdr:col>2</xdr:col>
                    <xdr:colOff>281940</xdr:colOff>
                    <xdr:row>36</xdr:row>
                    <xdr:rowOff>144780</xdr:rowOff>
                  </from>
                  <to>
                    <xdr:col>3</xdr:col>
                    <xdr:colOff>236220</xdr:colOff>
                    <xdr:row>37</xdr:row>
                    <xdr:rowOff>175260</xdr:rowOff>
                  </to>
                </anchor>
              </controlPr>
            </control>
          </mc:Choice>
        </mc:AlternateContent>
        <mc:AlternateContent xmlns:mc="http://schemas.openxmlformats.org/markup-compatibility/2006">
          <mc:Choice Requires="x14">
            <control shapeId="6218" r:id="rId62" name="Check Box 74">
              <controlPr defaultSize="0" autoFill="0" autoLine="0" autoPict="0">
                <anchor moveWithCells="1">
                  <from>
                    <xdr:col>2</xdr:col>
                    <xdr:colOff>281940</xdr:colOff>
                    <xdr:row>36</xdr:row>
                    <xdr:rowOff>144780</xdr:rowOff>
                  </from>
                  <to>
                    <xdr:col>3</xdr:col>
                    <xdr:colOff>236220</xdr:colOff>
                    <xdr:row>37</xdr:row>
                    <xdr:rowOff>175260</xdr:rowOff>
                  </to>
                </anchor>
              </controlPr>
            </control>
          </mc:Choice>
        </mc:AlternateContent>
        <mc:AlternateContent xmlns:mc="http://schemas.openxmlformats.org/markup-compatibility/2006">
          <mc:Choice Requires="x14">
            <control shapeId="6219" r:id="rId63" name="Check Box 75">
              <controlPr defaultSize="0" autoFill="0" autoLine="0" autoPict="0">
                <anchor moveWithCells="1">
                  <from>
                    <xdr:col>2</xdr:col>
                    <xdr:colOff>281940</xdr:colOff>
                    <xdr:row>36</xdr:row>
                    <xdr:rowOff>144780</xdr:rowOff>
                  </from>
                  <to>
                    <xdr:col>3</xdr:col>
                    <xdr:colOff>236220</xdr:colOff>
                    <xdr:row>37</xdr:row>
                    <xdr:rowOff>175260</xdr:rowOff>
                  </to>
                </anchor>
              </controlPr>
            </control>
          </mc:Choice>
        </mc:AlternateContent>
        <mc:AlternateContent xmlns:mc="http://schemas.openxmlformats.org/markup-compatibility/2006">
          <mc:Choice Requires="x14">
            <control shapeId="6220" r:id="rId64" name="Check Box 76">
              <controlPr defaultSize="0" autoFill="0" autoLine="0" autoPict="0">
                <anchor moveWithCells="1">
                  <from>
                    <xdr:col>2</xdr:col>
                    <xdr:colOff>281940</xdr:colOff>
                    <xdr:row>36</xdr:row>
                    <xdr:rowOff>144780</xdr:rowOff>
                  </from>
                  <to>
                    <xdr:col>3</xdr:col>
                    <xdr:colOff>236220</xdr:colOff>
                    <xdr:row>37</xdr:row>
                    <xdr:rowOff>175260</xdr:rowOff>
                  </to>
                </anchor>
              </controlPr>
            </control>
          </mc:Choice>
        </mc:AlternateContent>
        <mc:AlternateContent xmlns:mc="http://schemas.openxmlformats.org/markup-compatibility/2006">
          <mc:Choice Requires="x14">
            <control shapeId="6221" r:id="rId65" name="Check Box 77">
              <controlPr defaultSize="0" autoFill="0" autoLine="0" autoPict="0">
                <anchor moveWithCells="1">
                  <from>
                    <xdr:col>2</xdr:col>
                    <xdr:colOff>281940</xdr:colOff>
                    <xdr:row>36</xdr:row>
                    <xdr:rowOff>144780</xdr:rowOff>
                  </from>
                  <to>
                    <xdr:col>3</xdr:col>
                    <xdr:colOff>236220</xdr:colOff>
                    <xdr:row>37</xdr:row>
                    <xdr:rowOff>175260</xdr:rowOff>
                  </to>
                </anchor>
              </controlPr>
            </control>
          </mc:Choice>
        </mc:AlternateContent>
        <mc:AlternateContent xmlns:mc="http://schemas.openxmlformats.org/markup-compatibility/2006">
          <mc:Choice Requires="x14">
            <control shapeId="6222" r:id="rId66" name="Check Box 78">
              <controlPr defaultSize="0" autoFill="0" autoLine="0" autoPict="0">
                <anchor moveWithCells="1">
                  <from>
                    <xdr:col>2</xdr:col>
                    <xdr:colOff>281940</xdr:colOff>
                    <xdr:row>36</xdr:row>
                    <xdr:rowOff>144780</xdr:rowOff>
                  </from>
                  <to>
                    <xdr:col>3</xdr:col>
                    <xdr:colOff>236220</xdr:colOff>
                    <xdr:row>37</xdr:row>
                    <xdr:rowOff>175260</xdr:rowOff>
                  </to>
                </anchor>
              </controlPr>
            </control>
          </mc:Choice>
        </mc:AlternateContent>
        <mc:AlternateContent xmlns:mc="http://schemas.openxmlformats.org/markup-compatibility/2006">
          <mc:Choice Requires="x14">
            <control shapeId="6223" r:id="rId67" name="Check Box 79">
              <controlPr defaultSize="0" autoFill="0" autoLine="0" autoPict="0">
                <anchor moveWithCells="1">
                  <from>
                    <xdr:col>2</xdr:col>
                    <xdr:colOff>281940</xdr:colOff>
                    <xdr:row>37</xdr:row>
                    <xdr:rowOff>144780</xdr:rowOff>
                  </from>
                  <to>
                    <xdr:col>3</xdr:col>
                    <xdr:colOff>236220</xdr:colOff>
                    <xdr:row>38</xdr:row>
                    <xdr:rowOff>175260</xdr:rowOff>
                  </to>
                </anchor>
              </controlPr>
            </control>
          </mc:Choice>
        </mc:AlternateContent>
        <mc:AlternateContent xmlns:mc="http://schemas.openxmlformats.org/markup-compatibility/2006">
          <mc:Choice Requires="x14">
            <control shapeId="6224" r:id="rId68" name="Check Box 80">
              <controlPr defaultSize="0" autoFill="0" autoLine="0" autoPict="0">
                <anchor moveWithCells="1">
                  <from>
                    <xdr:col>2</xdr:col>
                    <xdr:colOff>281940</xdr:colOff>
                    <xdr:row>37</xdr:row>
                    <xdr:rowOff>144780</xdr:rowOff>
                  </from>
                  <to>
                    <xdr:col>3</xdr:col>
                    <xdr:colOff>236220</xdr:colOff>
                    <xdr:row>38</xdr:row>
                    <xdr:rowOff>175260</xdr:rowOff>
                  </to>
                </anchor>
              </controlPr>
            </control>
          </mc:Choice>
        </mc:AlternateContent>
        <mc:AlternateContent xmlns:mc="http://schemas.openxmlformats.org/markup-compatibility/2006">
          <mc:Choice Requires="x14">
            <control shapeId="6225" r:id="rId69" name="Check Box 81">
              <controlPr defaultSize="0" autoFill="0" autoLine="0" autoPict="0">
                <anchor moveWithCells="1">
                  <from>
                    <xdr:col>2</xdr:col>
                    <xdr:colOff>281940</xdr:colOff>
                    <xdr:row>37</xdr:row>
                    <xdr:rowOff>144780</xdr:rowOff>
                  </from>
                  <to>
                    <xdr:col>3</xdr:col>
                    <xdr:colOff>236220</xdr:colOff>
                    <xdr:row>38</xdr:row>
                    <xdr:rowOff>175260</xdr:rowOff>
                  </to>
                </anchor>
              </controlPr>
            </control>
          </mc:Choice>
        </mc:AlternateContent>
        <mc:AlternateContent xmlns:mc="http://schemas.openxmlformats.org/markup-compatibility/2006">
          <mc:Choice Requires="x14">
            <control shapeId="6226" r:id="rId70" name="Check Box 82">
              <controlPr defaultSize="0" autoFill="0" autoLine="0" autoPict="0">
                <anchor moveWithCells="1">
                  <from>
                    <xdr:col>2</xdr:col>
                    <xdr:colOff>281940</xdr:colOff>
                    <xdr:row>37</xdr:row>
                    <xdr:rowOff>144780</xdr:rowOff>
                  </from>
                  <to>
                    <xdr:col>3</xdr:col>
                    <xdr:colOff>236220</xdr:colOff>
                    <xdr:row>38</xdr:row>
                    <xdr:rowOff>175260</xdr:rowOff>
                  </to>
                </anchor>
              </controlPr>
            </control>
          </mc:Choice>
        </mc:AlternateContent>
        <mc:AlternateContent xmlns:mc="http://schemas.openxmlformats.org/markup-compatibility/2006">
          <mc:Choice Requires="x14">
            <control shapeId="6227" r:id="rId71" name="Check Box 83">
              <controlPr defaultSize="0" autoFill="0" autoLine="0" autoPict="0">
                <anchor moveWithCells="1">
                  <from>
                    <xdr:col>2</xdr:col>
                    <xdr:colOff>274320</xdr:colOff>
                    <xdr:row>27</xdr:row>
                    <xdr:rowOff>0</xdr:rowOff>
                  </from>
                  <to>
                    <xdr:col>3</xdr:col>
                    <xdr:colOff>228600</xdr:colOff>
                    <xdr:row>27</xdr:row>
                    <xdr:rowOff>213360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8"/>
  <sheetViews>
    <sheetView tabSelected="1" zoomScale="70" zoomScaleNormal="70" workbookViewId="0">
      <pane ySplit="3" topLeftCell="A4" activePane="bottomLeft" state="frozen"/>
      <selection pane="bottomLeft" activeCell="H16" sqref="H16"/>
    </sheetView>
  </sheetViews>
  <sheetFormatPr defaultColWidth="8.6640625" defaultRowHeight="14.4" x14ac:dyDescent="0.3"/>
  <cols>
    <col min="1" max="1" width="21.77734375" style="1" customWidth="1"/>
    <col min="2" max="2" width="31" style="1" customWidth="1"/>
    <col min="3" max="3" width="45" style="1" customWidth="1"/>
    <col min="4" max="4" width="20" style="1" customWidth="1"/>
    <col min="5" max="6" width="18" style="1" customWidth="1"/>
    <col min="7" max="7" width="22.33203125" style="1" customWidth="1"/>
    <col min="8" max="8" width="30" style="1" customWidth="1"/>
    <col min="9" max="9" width="89.33203125" customWidth="1"/>
  </cols>
  <sheetData>
    <row r="1" spans="1:9" ht="17.399999999999999" x14ac:dyDescent="0.3">
      <c r="A1" s="35" t="s">
        <v>10</v>
      </c>
      <c r="B1" s="36"/>
      <c r="C1" s="36"/>
      <c r="D1" s="36"/>
      <c r="E1" s="36"/>
      <c r="F1" s="36"/>
      <c r="G1" s="36"/>
      <c r="H1" s="36"/>
    </row>
    <row r="2" spans="1:9" ht="27.6" x14ac:dyDescent="0.3">
      <c r="A2" s="2" t="s">
        <v>11</v>
      </c>
      <c r="B2" s="2" t="s">
        <v>12</v>
      </c>
      <c r="C2" s="2" t="s">
        <v>13</v>
      </c>
      <c r="D2" s="2" t="s">
        <v>392</v>
      </c>
      <c r="E2" s="2" t="s">
        <v>393</v>
      </c>
      <c r="F2" s="2" t="s">
        <v>394</v>
      </c>
      <c r="G2" s="2" t="s">
        <v>395</v>
      </c>
      <c r="H2" s="2" t="s">
        <v>18</v>
      </c>
    </row>
    <row r="3" spans="1:9" x14ac:dyDescent="0.3">
      <c r="A3" s="3" t="s">
        <v>19</v>
      </c>
      <c r="B3" s="14"/>
      <c r="C3" s="15"/>
      <c r="D3" s="3"/>
      <c r="E3" s="3"/>
      <c r="F3" s="3"/>
      <c r="G3" s="3"/>
      <c r="H3" s="3"/>
    </row>
    <row r="4" spans="1:9" ht="86.4" x14ac:dyDescent="0.3">
      <c r="A4" s="4" t="s">
        <v>1</v>
      </c>
      <c r="B4" s="4" t="s">
        <v>391</v>
      </c>
      <c r="C4" s="12" t="s">
        <v>370</v>
      </c>
      <c r="D4" s="4" t="s">
        <v>397</v>
      </c>
      <c r="E4" s="4" t="s">
        <v>398</v>
      </c>
      <c r="F4" s="4" t="s">
        <v>399</v>
      </c>
      <c r="G4" s="4" t="s">
        <v>396</v>
      </c>
      <c r="H4" s="4" t="s">
        <v>20</v>
      </c>
    </row>
    <row r="5" spans="1:9" ht="100.8" x14ac:dyDescent="0.3">
      <c r="A5" s="4" t="s">
        <v>21</v>
      </c>
      <c r="B5" s="4" t="s">
        <v>400</v>
      </c>
      <c r="C5" s="12" t="s">
        <v>371</v>
      </c>
      <c r="D5" s="4" t="s">
        <v>401</v>
      </c>
      <c r="E5" s="4" t="s">
        <v>281</v>
      </c>
      <c r="F5" s="4" t="s">
        <v>96</v>
      </c>
      <c r="G5" s="4" t="s">
        <v>402</v>
      </c>
      <c r="H5" s="4" t="s">
        <v>23</v>
      </c>
    </row>
    <row r="6" spans="1:9" ht="129.6" x14ac:dyDescent="0.3">
      <c r="A6" s="4" t="s">
        <v>404</v>
      </c>
      <c r="B6" s="4" t="s">
        <v>403</v>
      </c>
      <c r="C6" s="12" t="s">
        <v>372</v>
      </c>
      <c r="D6" s="4" t="s">
        <v>405</v>
      </c>
      <c r="E6" s="4" t="s">
        <v>406</v>
      </c>
      <c r="F6" s="4" t="s">
        <v>407</v>
      </c>
      <c r="G6" s="4" t="s">
        <v>408</v>
      </c>
      <c r="H6" s="16" t="s">
        <v>422</v>
      </c>
      <c r="I6" s="37"/>
    </row>
    <row r="7" spans="1:9" ht="105.6" x14ac:dyDescent="0.3">
      <c r="A7" s="4" t="s">
        <v>106</v>
      </c>
      <c r="B7" s="16" t="s">
        <v>421</v>
      </c>
      <c r="C7" s="20" t="s">
        <v>384</v>
      </c>
      <c r="D7" s="4" t="s">
        <v>107</v>
      </c>
      <c r="E7" s="4" t="s">
        <v>108</v>
      </c>
      <c r="F7" s="4" t="s">
        <v>109</v>
      </c>
      <c r="G7" s="4" t="s">
        <v>110</v>
      </c>
      <c r="H7" s="4" t="s">
        <v>111</v>
      </c>
      <c r="I7" s="38"/>
    </row>
    <row r="8" spans="1:9" ht="79.2" x14ac:dyDescent="0.3">
      <c r="A8" s="4" t="s">
        <v>112</v>
      </c>
      <c r="B8" s="16" t="s">
        <v>435</v>
      </c>
      <c r="C8" s="4" t="s">
        <v>434</v>
      </c>
      <c r="D8" s="4"/>
      <c r="E8" s="4"/>
      <c r="F8" s="4"/>
      <c r="G8" s="4"/>
      <c r="H8" s="4"/>
      <c r="I8" s="38"/>
    </row>
    <row r="9" spans="1:9" ht="250.8" x14ac:dyDescent="0.3">
      <c r="A9" s="4" t="s">
        <v>423</v>
      </c>
      <c r="B9" s="16" t="s">
        <v>424</v>
      </c>
      <c r="C9" s="13" t="s">
        <v>425</v>
      </c>
      <c r="D9" s="4"/>
      <c r="E9" s="4"/>
      <c r="F9" s="4"/>
      <c r="G9" s="4"/>
      <c r="H9" s="16" t="s">
        <v>426</v>
      </c>
      <c r="I9" s="38"/>
    </row>
    <row r="10" spans="1:9" ht="115.2" x14ac:dyDescent="0.3">
      <c r="A10" s="4" t="s">
        <v>24</v>
      </c>
      <c r="B10" s="4" t="s">
        <v>409</v>
      </c>
      <c r="C10" s="12" t="s">
        <v>373</v>
      </c>
      <c r="D10" s="4" t="s">
        <v>410</v>
      </c>
      <c r="E10" s="4" t="s">
        <v>22</v>
      </c>
      <c r="F10" s="4" t="s">
        <v>411</v>
      </c>
      <c r="G10" s="4" t="s">
        <v>412</v>
      </c>
      <c r="H10" s="4" t="s">
        <v>25</v>
      </c>
    </row>
    <row r="11" spans="1:9" x14ac:dyDescent="0.3">
      <c r="A11" s="39" t="s">
        <v>31</v>
      </c>
      <c r="B11" s="40"/>
      <c r="C11" s="40"/>
      <c r="D11" s="40"/>
      <c r="E11" s="40"/>
      <c r="F11" s="40"/>
      <c r="G11" s="40"/>
      <c r="H11" s="41"/>
    </row>
    <row r="12" spans="1:9" ht="66" x14ac:dyDescent="0.3">
      <c r="A12" s="4" t="s">
        <v>32</v>
      </c>
      <c r="B12" s="4" t="s">
        <v>437</v>
      </c>
      <c r="C12" s="12" t="s">
        <v>438</v>
      </c>
      <c r="D12" s="4" t="s">
        <v>33</v>
      </c>
      <c r="E12" s="4" t="s">
        <v>34</v>
      </c>
      <c r="F12" s="4" t="s">
        <v>35</v>
      </c>
      <c r="G12" s="4" t="s">
        <v>36</v>
      </c>
      <c r="H12" s="4" t="s">
        <v>37</v>
      </c>
    </row>
    <row r="13" spans="1:9" ht="72" x14ac:dyDescent="0.3">
      <c r="A13" s="4" t="s">
        <v>440</v>
      </c>
      <c r="B13" s="4" t="s">
        <v>439</v>
      </c>
      <c r="C13" s="12" t="s">
        <v>441</v>
      </c>
      <c r="D13" s="4"/>
      <c r="E13" s="4"/>
      <c r="F13" s="4"/>
      <c r="G13" s="4"/>
      <c r="H13" s="4"/>
    </row>
    <row r="14" spans="1:9" ht="39.6" x14ac:dyDescent="0.3">
      <c r="A14" s="4" t="s">
        <v>442</v>
      </c>
      <c r="B14" s="16" t="s">
        <v>444</v>
      </c>
      <c r="C14" s="12" t="s">
        <v>443</v>
      </c>
      <c r="D14" s="4"/>
      <c r="E14" s="4"/>
      <c r="F14" s="4"/>
      <c r="G14" s="4"/>
      <c r="H14" s="16" t="s">
        <v>448</v>
      </c>
    </row>
    <row r="15" spans="1:9" ht="39.6" x14ac:dyDescent="0.3">
      <c r="A15" s="4" t="s">
        <v>445</v>
      </c>
      <c r="B15" s="16" t="s">
        <v>446</v>
      </c>
      <c r="C15" s="13" t="s">
        <v>447</v>
      </c>
      <c r="D15" s="4"/>
      <c r="E15" s="4"/>
      <c r="F15" s="4"/>
      <c r="G15" s="4"/>
      <c r="H15" s="4"/>
    </row>
    <row r="16" spans="1:9" ht="115.2" x14ac:dyDescent="0.3">
      <c r="A16" s="4" t="s">
        <v>38</v>
      </c>
      <c r="B16" s="4" t="s">
        <v>413</v>
      </c>
      <c r="C16" s="12" t="s">
        <v>374</v>
      </c>
      <c r="D16" s="4"/>
      <c r="E16" s="4"/>
      <c r="F16" s="4"/>
      <c r="G16" s="4"/>
      <c r="H16" s="4" t="s">
        <v>414</v>
      </c>
    </row>
    <row r="17" spans="1:8" ht="158.4" x14ac:dyDescent="0.3">
      <c r="A17" s="4" t="s">
        <v>43</v>
      </c>
      <c r="B17" s="4" t="s">
        <v>415</v>
      </c>
      <c r="C17" s="12" t="s">
        <v>375</v>
      </c>
      <c r="D17" s="4" t="s">
        <v>44</v>
      </c>
      <c r="E17" s="4" t="s">
        <v>45</v>
      </c>
      <c r="F17" s="4" t="s">
        <v>46</v>
      </c>
      <c r="G17" s="4" t="s">
        <v>47</v>
      </c>
      <c r="H17" s="4" t="s">
        <v>48</v>
      </c>
    </row>
    <row r="18" spans="1:8" ht="100.8" x14ac:dyDescent="0.3">
      <c r="A18" s="4" t="s">
        <v>49</v>
      </c>
      <c r="B18" s="4" t="s">
        <v>50</v>
      </c>
      <c r="C18" s="12" t="s">
        <v>376</v>
      </c>
      <c r="D18" s="4" t="s">
        <v>51</v>
      </c>
      <c r="E18" s="4" t="s">
        <v>52</v>
      </c>
      <c r="F18" s="4" t="s">
        <v>53</v>
      </c>
      <c r="G18" s="4" t="s">
        <v>54</v>
      </c>
      <c r="H18" s="16" t="s">
        <v>458</v>
      </c>
    </row>
  </sheetData>
  <mergeCells count="3">
    <mergeCell ref="A1:H1"/>
    <mergeCell ref="I6:I9"/>
    <mergeCell ref="A11:H11"/>
  </mergeCells>
  <pageMargins left="0.75" right="0.75" top="1" bottom="1" header="0.511811023622047" footer="0.511811023622047"/>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22"/>
  <sheetViews>
    <sheetView zoomScaleNormal="100" workbookViewId="0">
      <pane ySplit="3" topLeftCell="A4" activePane="bottomLeft" state="frozen"/>
      <selection pane="bottomLeft" activeCell="F21" sqref="F21"/>
    </sheetView>
  </sheetViews>
  <sheetFormatPr defaultColWidth="8.6640625" defaultRowHeight="14.4" x14ac:dyDescent="0.3"/>
  <cols>
    <col min="1" max="1" width="25" style="1" customWidth="1"/>
    <col min="2" max="2" width="28" style="1" customWidth="1"/>
    <col min="3" max="3" width="35" style="1" customWidth="1"/>
    <col min="4" max="4" width="20" style="1" customWidth="1"/>
    <col min="5" max="6" width="18" style="1" customWidth="1"/>
    <col min="7" max="7" width="20" style="1" customWidth="1"/>
    <col min="8" max="8" width="30" style="1" customWidth="1"/>
    <col min="9" max="9" width="34.77734375" customWidth="1"/>
  </cols>
  <sheetData>
    <row r="1" spans="1:9" ht="17.399999999999999" x14ac:dyDescent="0.3">
      <c r="A1" s="35" t="s">
        <v>55</v>
      </c>
      <c r="B1" s="36"/>
      <c r="C1" s="36"/>
      <c r="D1" s="36"/>
      <c r="E1" s="36"/>
      <c r="F1" s="36"/>
      <c r="G1" s="36"/>
      <c r="H1" s="36"/>
    </row>
    <row r="2" spans="1:9" x14ac:dyDescent="0.3">
      <c r="A2" s="2" t="s">
        <v>11</v>
      </c>
      <c r="B2" s="2" t="s">
        <v>12</v>
      </c>
      <c r="C2" s="2" t="s">
        <v>13</v>
      </c>
      <c r="D2" s="2" t="s">
        <v>14</v>
      </c>
      <c r="E2" s="2" t="s">
        <v>15</v>
      </c>
      <c r="F2" s="2" t="s">
        <v>16</v>
      </c>
      <c r="G2" s="2" t="s">
        <v>17</v>
      </c>
      <c r="H2" s="2" t="s">
        <v>18</v>
      </c>
    </row>
    <row r="3" spans="1:9" x14ac:dyDescent="0.3">
      <c r="A3" s="3" t="s">
        <v>56</v>
      </c>
      <c r="B3" s="3"/>
      <c r="C3" s="3"/>
      <c r="D3" s="3"/>
      <c r="E3" s="3"/>
      <c r="F3" s="3"/>
      <c r="G3" s="3"/>
      <c r="H3" s="3"/>
    </row>
    <row r="4" spans="1:9" ht="184.8" x14ac:dyDescent="0.3">
      <c r="A4" s="4" t="s">
        <v>0</v>
      </c>
      <c r="B4" s="4" t="s">
        <v>416</v>
      </c>
      <c r="C4" s="4" t="s">
        <v>377</v>
      </c>
      <c r="D4" s="4" t="s">
        <v>57</v>
      </c>
      <c r="E4" s="4" t="s">
        <v>58</v>
      </c>
      <c r="F4" s="4" t="s">
        <v>57</v>
      </c>
      <c r="G4" s="4" t="s">
        <v>59</v>
      </c>
      <c r="H4" s="4" t="s">
        <v>417</v>
      </c>
    </row>
    <row r="5" spans="1:9" ht="100.8" x14ac:dyDescent="0.3">
      <c r="A5" s="4" t="s">
        <v>60</v>
      </c>
      <c r="B5" s="4" t="s">
        <v>418</v>
      </c>
      <c r="C5" s="12" t="s">
        <v>378</v>
      </c>
      <c r="D5" s="4" t="s">
        <v>27</v>
      </c>
      <c r="E5" s="4" t="s">
        <v>28</v>
      </c>
      <c r="F5" s="4" t="s">
        <v>29</v>
      </c>
      <c r="G5" s="4" t="s">
        <v>30</v>
      </c>
      <c r="H5" s="4" t="s">
        <v>61</v>
      </c>
    </row>
    <row r="6" spans="1:9" ht="43.2" x14ac:dyDescent="0.3">
      <c r="A6" s="4" t="s">
        <v>62</v>
      </c>
      <c r="B6" s="4" t="s">
        <v>432</v>
      </c>
      <c r="C6" s="12" t="s">
        <v>433</v>
      </c>
      <c r="D6" s="4" t="s">
        <v>63</v>
      </c>
      <c r="E6" s="4" t="s">
        <v>64</v>
      </c>
      <c r="F6" s="4" t="s">
        <v>65</v>
      </c>
      <c r="G6" s="4" t="s">
        <v>66</v>
      </c>
      <c r="H6" s="16" t="s">
        <v>419</v>
      </c>
    </row>
    <row r="7" spans="1:9" ht="158.4" x14ac:dyDescent="0.3">
      <c r="A7" s="4" t="s">
        <v>67</v>
      </c>
      <c r="B7" s="4" t="s">
        <v>68</v>
      </c>
      <c r="C7" s="12" t="s">
        <v>379</v>
      </c>
      <c r="D7" s="4" t="s">
        <v>69</v>
      </c>
      <c r="E7" s="4" t="s">
        <v>70</v>
      </c>
      <c r="F7" s="4" t="s">
        <v>71</v>
      </c>
      <c r="G7" s="4" t="s">
        <v>72</v>
      </c>
      <c r="H7" s="4" t="s">
        <v>73</v>
      </c>
      <c r="I7" s="42" t="s">
        <v>436</v>
      </c>
    </row>
    <row r="8" spans="1:9" ht="115.2" x14ac:dyDescent="0.3">
      <c r="A8" s="4" t="s">
        <v>74</v>
      </c>
      <c r="B8" s="4" t="s">
        <v>75</v>
      </c>
      <c r="C8" s="12" t="s">
        <v>380</v>
      </c>
      <c r="D8" s="4" t="s">
        <v>76</v>
      </c>
      <c r="E8" s="4" t="s">
        <v>77</v>
      </c>
      <c r="F8" s="4" t="s">
        <v>78</v>
      </c>
      <c r="G8" s="4" t="s">
        <v>79</v>
      </c>
      <c r="H8" s="4" t="s">
        <v>80</v>
      </c>
      <c r="I8" s="43"/>
    </row>
    <row r="9" spans="1:9" x14ac:dyDescent="0.3">
      <c r="A9" s="3" t="s">
        <v>81</v>
      </c>
      <c r="B9" s="3"/>
      <c r="C9" s="3"/>
      <c r="D9" s="3"/>
      <c r="E9" s="3"/>
      <c r="F9" s="3"/>
      <c r="G9" s="3"/>
      <c r="H9" s="3"/>
    </row>
    <row r="10" spans="1:9" ht="171.6" x14ac:dyDescent="0.3">
      <c r="A10" s="4" t="s">
        <v>82</v>
      </c>
      <c r="B10" s="4" t="s">
        <v>83</v>
      </c>
      <c r="C10" s="4" t="s">
        <v>381</v>
      </c>
      <c r="D10" s="4" t="s">
        <v>84</v>
      </c>
      <c r="E10" s="4" t="s">
        <v>85</v>
      </c>
      <c r="F10" s="4" t="s">
        <v>86</v>
      </c>
      <c r="G10" s="4" t="s">
        <v>87</v>
      </c>
      <c r="H10" s="4" t="s">
        <v>88</v>
      </c>
    </row>
    <row r="11" spans="1:9" ht="158.4" x14ac:dyDescent="0.3">
      <c r="A11" s="4" t="s">
        <v>89</v>
      </c>
      <c r="B11" s="16" t="s">
        <v>420</v>
      </c>
      <c r="C11" s="12" t="s">
        <v>382</v>
      </c>
      <c r="D11" s="4" t="s">
        <v>90</v>
      </c>
      <c r="E11" s="4" t="s">
        <v>69</v>
      </c>
      <c r="F11" s="4" t="s">
        <v>91</v>
      </c>
      <c r="G11" s="4" t="s">
        <v>92</v>
      </c>
      <c r="H11" s="4" t="s">
        <v>427</v>
      </c>
    </row>
    <row r="12" spans="1:9" ht="201.6" x14ac:dyDescent="0.3">
      <c r="A12" s="4" t="s">
        <v>93</v>
      </c>
      <c r="B12" s="4" t="s">
        <v>94</v>
      </c>
      <c r="C12" s="12" t="s">
        <v>383</v>
      </c>
      <c r="D12" s="4" t="s">
        <v>95</v>
      </c>
      <c r="E12" s="4" t="s">
        <v>22</v>
      </c>
      <c r="F12" s="4" t="s">
        <v>96</v>
      </c>
      <c r="G12" s="4" t="s">
        <v>97</v>
      </c>
      <c r="H12" s="4" t="s">
        <v>98</v>
      </c>
    </row>
    <row r="13" spans="1:9" x14ac:dyDescent="0.3">
      <c r="A13" s="4" t="s">
        <v>99</v>
      </c>
      <c r="B13" s="4" t="s">
        <v>100</v>
      </c>
      <c r="C13" s="4" t="s">
        <v>369</v>
      </c>
      <c r="D13" s="4" t="s">
        <v>101</v>
      </c>
      <c r="E13" s="4" t="s">
        <v>102</v>
      </c>
      <c r="F13" s="4" t="s">
        <v>103</v>
      </c>
      <c r="G13" s="4" t="s">
        <v>104</v>
      </c>
      <c r="H13" s="4" t="s">
        <v>105</v>
      </c>
    </row>
    <row r="15" spans="1:9" ht="115.2" x14ac:dyDescent="0.3">
      <c r="A15" s="4" t="s">
        <v>112</v>
      </c>
      <c r="B15" s="4" t="s">
        <v>113</v>
      </c>
      <c r="C15" s="12" t="s">
        <v>385</v>
      </c>
      <c r="D15" s="4" t="s">
        <v>114</v>
      </c>
      <c r="E15" s="4" t="s">
        <v>22</v>
      </c>
      <c r="F15" s="4" t="s">
        <v>115</v>
      </c>
      <c r="G15" s="4" t="s">
        <v>116</v>
      </c>
      <c r="H15" s="16" t="s">
        <v>117</v>
      </c>
    </row>
    <row r="16" spans="1:9" x14ac:dyDescent="0.3">
      <c r="A16" s="3" t="s">
        <v>118</v>
      </c>
      <c r="B16" s="3"/>
      <c r="C16" s="3"/>
      <c r="D16" s="3"/>
      <c r="E16" s="3"/>
      <c r="F16" s="3"/>
      <c r="G16" s="3"/>
      <c r="H16" s="3"/>
    </row>
    <row r="17" spans="1:8" ht="187.2" x14ac:dyDescent="0.3">
      <c r="A17" s="4" t="s">
        <v>119</v>
      </c>
      <c r="B17" s="4" t="s">
        <v>120</v>
      </c>
      <c r="C17" s="12" t="s">
        <v>386</v>
      </c>
      <c r="D17" s="4" t="s">
        <v>39</v>
      </c>
      <c r="E17" s="4" t="s">
        <v>40</v>
      </c>
      <c r="F17" s="4" t="s">
        <v>41</v>
      </c>
      <c r="G17" s="4" t="s">
        <v>42</v>
      </c>
      <c r="H17" s="4" t="s">
        <v>121</v>
      </c>
    </row>
    <row r="18" spans="1:8" ht="158.4" x14ac:dyDescent="0.3">
      <c r="A18" s="4" t="s">
        <v>122</v>
      </c>
      <c r="B18" s="4" t="s">
        <v>123</v>
      </c>
      <c r="C18" s="12" t="s">
        <v>387</v>
      </c>
      <c r="D18" s="4" t="s">
        <v>27</v>
      </c>
      <c r="E18" s="4" t="s">
        <v>28</v>
      </c>
      <c r="F18" s="4" t="s">
        <v>29</v>
      </c>
      <c r="G18" s="4" t="s">
        <v>30</v>
      </c>
      <c r="H18" s="4" t="s">
        <v>124</v>
      </c>
    </row>
    <row r="19" spans="1:8" ht="144" x14ac:dyDescent="0.3">
      <c r="A19" s="4" t="s">
        <v>125</v>
      </c>
      <c r="B19" s="4" t="s">
        <v>126</v>
      </c>
      <c r="C19" s="12" t="s">
        <v>388</v>
      </c>
      <c r="D19" s="4" t="s">
        <v>39</v>
      </c>
      <c r="E19" s="4" t="s">
        <v>40</v>
      </c>
      <c r="F19" s="4" t="s">
        <v>41</v>
      </c>
      <c r="G19" s="4" t="s">
        <v>42</v>
      </c>
      <c r="H19" s="4" t="s">
        <v>127</v>
      </c>
    </row>
    <row r="20" spans="1:8" ht="172.8" x14ac:dyDescent="0.3">
      <c r="A20" s="4" t="s">
        <v>128</v>
      </c>
      <c r="B20" s="4" t="s">
        <v>129</v>
      </c>
      <c r="C20" s="12" t="s">
        <v>389</v>
      </c>
      <c r="D20" s="4" t="s">
        <v>28</v>
      </c>
      <c r="E20" s="4" t="s">
        <v>64</v>
      </c>
      <c r="F20" s="4" t="s">
        <v>130</v>
      </c>
      <c r="G20" s="4" t="s">
        <v>131</v>
      </c>
      <c r="H20" s="4" t="s">
        <v>132</v>
      </c>
    </row>
    <row r="21" spans="1:8" ht="187.2" x14ac:dyDescent="0.3">
      <c r="A21" s="4" t="s">
        <v>133</v>
      </c>
      <c r="B21" s="4" t="s">
        <v>134</v>
      </c>
      <c r="C21" s="12" t="s">
        <v>390</v>
      </c>
      <c r="D21" s="4" t="s">
        <v>135</v>
      </c>
      <c r="E21" s="4" t="s">
        <v>136</v>
      </c>
      <c r="F21" s="4" t="s">
        <v>137</v>
      </c>
      <c r="G21" s="4" t="s">
        <v>138</v>
      </c>
      <c r="H21" s="4" t="s">
        <v>139</v>
      </c>
    </row>
    <row r="22" spans="1:8" ht="28.8" x14ac:dyDescent="0.3">
      <c r="A22" s="4" t="s">
        <v>428</v>
      </c>
      <c r="B22" s="4" t="s">
        <v>429</v>
      </c>
      <c r="C22" s="12" t="s">
        <v>430</v>
      </c>
      <c r="D22" s="4"/>
      <c r="E22" s="4"/>
      <c r="F22" s="4"/>
      <c r="G22" s="4"/>
      <c r="H22" s="4" t="s">
        <v>431</v>
      </c>
    </row>
  </sheetData>
  <mergeCells count="2">
    <mergeCell ref="A1:H1"/>
    <mergeCell ref="I7:I8"/>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7"/>
  <sheetViews>
    <sheetView zoomScale="80" zoomScaleNormal="80" workbookViewId="0">
      <selection activeCell="D6" sqref="D6"/>
    </sheetView>
  </sheetViews>
  <sheetFormatPr defaultColWidth="8.6640625" defaultRowHeight="14.4" x14ac:dyDescent="0.3"/>
  <cols>
    <col min="1" max="1" width="20" style="1" customWidth="1"/>
    <col min="2" max="2" width="18" style="1" customWidth="1"/>
    <col min="3" max="3" width="40" style="1" customWidth="1"/>
    <col min="4" max="4" width="35" style="1" customWidth="1"/>
    <col min="5" max="5" width="25" style="1" customWidth="1"/>
    <col min="6" max="6" width="30" style="1" customWidth="1"/>
  </cols>
  <sheetData>
    <row r="1" spans="1:6" ht="24.75" customHeight="1" x14ac:dyDescent="0.3">
      <c r="A1" s="36" t="s">
        <v>140</v>
      </c>
      <c r="B1" s="36"/>
      <c r="C1" s="36"/>
      <c r="D1" s="36"/>
      <c r="E1" s="36"/>
      <c r="F1" s="36"/>
    </row>
    <row r="3" spans="1:6" ht="15" customHeight="1" x14ac:dyDescent="0.3">
      <c r="A3" s="2" t="s">
        <v>141</v>
      </c>
      <c r="B3" s="2" t="s">
        <v>142</v>
      </c>
      <c r="C3" s="2" t="s">
        <v>143</v>
      </c>
      <c r="D3" s="2" t="s">
        <v>144</v>
      </c>
      <c r="E3" s="2" t="s">
        <v>145</v>
      </c>
      <c r="F3" s="2" t="s">
        <v>18</v>
      </c>
    </row>
    <row r="4" spans="1:6" ht="99.75" customHeight="1" x14ac:dyDescent="0.3">
      <c r="A4" s="5" t="s">
        <v>146</v>
      </c>
      <c r="B4" s="4" t="s">
        <v>147</v>
      </c>
      <c r="C4" s="4" t="s">
        <v>148</v>
      </c>
      <c r="D4" s="4" t="s">
        <v>149</v>
      </c>
      <c r="E4" s="4" t="s">
        <v>150</v>
      </c>
      <c r="F4" s="4" t="s">
        <v>151</v>
      </c>
    </row>
    <row r="5" spans="1:6" ht="99.75" customHeight="1" x14ac:dyDescent="0.3">
      <c r="A5" s="5" t="s">
        <v>152</v>
      </c>
      <c r="B5" s="4" t="s">
        <v>153</v>
      </c>
      <c r="C5" s="4" t="s">
        <v>154</v>
      </c>
      <c r="D5" s="4" t="s">
        <v>155</v>
      </c>
      <c r="E5" s="4" t="s">
        <v>156</v>
      </c>
      <c r="F5" s="4" t="s">
        <v>157</v>
      </c>
    </row>
    <row r="6" spans="1:6" ht="99.75" customHeight="1" x14ac:dyDescent="0.3">
      <c r="A6" s="5" t="s">
        <v>158</v>
      </c>
      <c r="B6" s="4" t="s">
        <v>159</v>
      </c>
      <c r="C6" s="4" t="s">
        <v>160</v>
      </c>
      <c r="D6" s="4" t="s">
        <v>161</v>
      </c>
      <c r="E6" s="4" t="s">
        <v>162</v>
      </c>
      <c r="F6" s="4" t="s">
        <v>163</v>
      </c>
    </row>
    <row r="7" spans="1:6" ht="99.75" customHeight="1" x14ac:dyDescent="0.3">
      <c r="A7" s="5" t="s">
        <v>164</v>
      </c>
      <c r="B7" s="4" t="s">
        <v>165</v>
      </c>
      <c r="C7" s="4" t="s">
        <v>166</v>
      </c>
      <c r="D7" s="4" t="s">
        <v>167</v>
      </c>
      <c r="E7" s="4" t="s">
        <v>168</v>
      </c>
      <c r="F7" s="4" t="s">
        <v>169</v>
      </c>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36"/>
  <sheetViews>
    <sheetView topLeftCell="A24" zoomScaleNormal="100" workbookViewId="0">
      <selection activeCell="E10" sqref="E10"/>
    </sheetView>
  </sheetViews>
  <sheetFormatPr defaultColWidth="8.6640625" defaultRowHeight="14.4" x14ac:dyDescent="0.3"/>
  <cols>
    <col min="1" max="1" width="15" style="17" customWidth="1"/>
    <col min="2" max="2" width="30" style="17" customWidth="1"/>
    <col min="3" max="3" width="12" style="17" customWidth="1"/>
    <col min="4" max="5" width="15" style="17" customWidth="1"/>
    <col min="6" max="7" width="25" style="17" customWidth="1"/>
    <col min="8" max="16384" width="8.6640625" style="17"/>
  </cols>
  <sheetData>
    <row r="1" spans="1:7" ht="17.399999999999999" x14ac:dyDescent="0.3">
      <c r="A1" s="44" t="s">
        <v>170</v>
      </c>
      <c r="B1" s="44"/>
      <c r="C1" s="44"/>
      <c r="D1" s="44"/>
      <c r="E1" s="44"/>
      <c r="F1" s="44"/>
      <c r="G1" s="44"/>
    </row>
    <row r="3" spans="1:7" ht="28.8" x14ac:dyDescent="0.3">
      <c r="A3" s="17" t="s">
        <v>171</v>
      </c>
      <c r="B3" s="18" t="s">
        <v>172</v>
      </c>
      <c r="D3" s="17" t="s">
        <v>173</v>
      </c>
      <c r="E3" s="18" t="s">
        <v>174</v>
      </c>
    </row>
    <row r="5" spans="1:7" x14ac:dyDescent="0.3">
      <c r="A5" s="45" t="s">
        <v>175</v>
      </c>
      <c r="B5" s="45"/>
      <c r="C5" s="45"/>
      <c r="D5" s="45"/>
      <c r="E5" s="45"/>
      <c r="F5" s="45"/>
      <c r="G5" s="45"/>
    </row>
    <row r="6" spans="1:7" ht="27.6" x14ac:dyDescent="0.3">
      <c r="A6" s="2" t="s">
        <v>5</v>
      </c>
      <c r="B6" s="2" t="s">
        <v>3</v>
      </c>
      <c r="C6" s="2" t="s">
        <v>176</v>
      </c>
      <c r="D6" s="2" t="s">
        <v>7</v>
      </c>
      <c r="E6" s="2" t="s">
        <v>177</v>
      </c>
      <c r="F6" s="2" t="s">
        <v>178</v>
      </c>
      <c r="G6" s="2" t="s">
        <v>179</v>
      </c>
    </row>
    <row r="7" spans="1:7" ht="26.4" x14ac:dyDescent="0.3">
      <c r="A7" s="4" t="s">
        <v>180</v>
      </c>
      <c r="B7" s="6" t="s">
        <v>181</v>
      </c>
      <c r="C7" s="6" t="s">
        <v>181</v>
      </c>
      <c r="D7" s="7" t="str">
        <f>IF(C7="Yes","✓","✗")</f>
        <v>✓</v>
      </c>
      <c r="E7" s="6" t="s">
        <v>182</v>
      </c>
      <c r="F7" s="4" t="s">
        <v>182</v>
      </c>
      <c r="G7" s="4"/>
    </row>
    <row r="8" spans="1:7" x14ac:dyDescent="0.3">
      <c r="A8" s="4" t="s">
        <v>183</v>
      </c>
      <c r="B8" s="6">
        <v>45</v>
      </c>
      <c r="C8" s="6">
        <v>43</v>
      </c>
      <c r="D8" s="7" t="str">
        <f>IF(C8&gt;=B8,"✓","✗")</f>
        <v>✗</v>
      </c>
      <c r="E8" s="6">
        <v>42</v>
      </c>
      <c r="F8" s="4">
        <f>C8-E8</f>
        <v>1</v>
      </c>
      <c r="G8" s="4"/>
    </row>
    <row r="9" spans="1:7" ht="26.4" x14ac:dyDescent="0.3">
      <c r="A9" s="4" t="s">
        <v>62</v>
      </c>
      <c r="B9" s="6">
        <v>0.85</v>
      </c>
      <c r="C9" s="6">
        <v>0.95599999999999996</v>
      </c>
      <c r="D9" s="7" t="str">
        <f>IF(C9&gt;=0.85,"✓","✗")</f>
        <v>✓</v>
      </c>
      <c r="E9" s="6">
        <v>0.88</v>
      </c>
      <c r="F9" s="4">
        <f>C9-E9</f>
        <v>7.5999999999999956E-2</v>
      </c>
      <c r="G9" s="4"/>
    </row>
    <row r="10" spans="1:7" ht="26.4" x14ac:dyDescent="0.3">
      <c r="A10" s="4" t="s">
        <v>184</v>
      </c>
      <c r="B10" s="6">
        <v>12</v>
      </c>
      <c r="C10" s="6">
        <v>11</v>
      </c>
      <c r="D10" s="7" t="str">
        <f>IF(C10&gt;=B10,"✓","✗")</f>
        <v>✗</v>
      </c>
      <c r="E10" s="6">
        <v>10</v>
      </c>
      <c r="F10" s="4">
        <f>C10-E10</f>
        <v>1</v>
      </c>
      <c r="G10" s="4"/>
    </row>
    <row r="11" spans="1:7" x14ac:dyDescent="0.3">
      <c r="A11" s="4" t="s">
        <v>185</v>
      </c>
      <c r="B11" s="6">
        <v>5</v>
      </c>
      <c r="C11" s="6">
        <v>3</v>
      </c>
      <c r="D11" s="7" t="str">
        <f>IF(C11&lt;=B11,"✓","✗")</f>
        <v>✓</v>
      </c>
      <c r="E11" s="6">
        <v>4</v>
      </c>
      <c r="F11" s="4">
        <f>C11-E11</f>
        <v>-1</v>
      </c>
      <c r="G11" s="4"/>
    </row>
    <row r="12" spans="1:7" ht="26.4" x14ac:dyDescent="0.3">
      <c r="A12" s="4" t="s">
        <v>186</v>
      </c>
      <c r="B12" s="6">
        <v>2</v>
      </c>
      <c r="C12" s="6">
        <v>3</v>
      </c>
      <c r="D12" s="7" t="str">
        <f>IF(C12&gt;=B12,"✓","✗")</f>
        <v>✓</v>
      </c>
      <c r="E12" s="6">
        <v>2</v>
      </c>
      <c r="F12" s="4">
        <f>C12-E12</f>
        <v>1</v>
      </c>
      <c r="G12" s="4"/>
    </row>
    <row r="14" spans="1:7" x14ac:dyDescent="0.3">
      <c r="A14" s="45" t="s">
        <v>187</v>
      </c>
      <c r="B14" s="45"/>
      <c r="C14" s="45"/>
      <c r="D14" s="45"/>
      <c r="E14" s="45"/>
      <c r="F14" s="45"/>
      <c r="G14" s="45"/>
    </row>
    <row r="15" spans="1:7" ht="27.6" x14ac:dyDescent="0.3">
      <c r="A15" s="2" t="s">
        <v>188</v>
      </c>
      <c r="B15" s="2" t="s">
        <v>189</v>
      </c>
      <c r="C15" s="2" t="s">
        <v>190</v>
      </c>
      <c r="D15" s="2" t="s">
        <v>191</v>
      </c>
      <c r="E15" s="2" t="s">
        <v>192</v>
      </c>
      <c r="F15" s="2" t="s">
        <v>193</v>
      </c>
      <c r="G15" s="2" t="s">
        <v>194</v>
      </c>
    </row>
    <row r="16" spans="1:7" x14ac:dyDescent="0.3">
      <c r="A16" s="19"/>
      <c r="B16" s="19"/>
      <c r="C16" s="19"/>
      <c r="D16" s="19"/>
      <c r="E16" s="19"/>
      <c r="F16" s="19"/>
      <c r="G16" s="19"/>
    </row>
    <row r="17" spans="1:7" ht="28.8" x14ac:dyDescent="0.3">
      <c r="A17" s="19" t="s">
        <v>195</v>
      </c>
      <c r="B17" s="19" t="s">
        <v>196</v>
      </c>
      <c r="C17" s="19">
        <v>8</v>
      </c>
      <c r="D17" s="19" t="s">
        <v>197</v>
      </c>
      <c r="E17" s="19" t="s">
        <v>198</v>
      </c>
      <c r="F17" s="19" t="s">
        <v>199</v>
      </c>
      <c r="G17" s="19" t="s">
        <v>200</v>
      </c>
    </row>
    <row r="18" spans="1:7" ht="28.8" x14ac:dyDescent="0.3">
      <c r="A18" s="19" t="s">
        <v>201</v>
      </c>
      <c r="B18" s="19" t="s">
        <v>202</v>
      </c>
      <c r="C18" s="19">
        <v>5</v>
      </c>
      <c r="D18" s="19" t="s">
        <v>203</v>
      </c>
      <c r="E18" s="19" t="s">
        <v>204</v>
      </c>
      <c r="F18" s="19" t="s">
        <v>199</v>
      </c>
      <c r="G18" s="19" t="s">
        <v>205</v>
      </c>
    </row>
    <row r="19" spans="1:7" x14ac:dyDescent="0.3">
      <c r="A19" s="19" t="s">
        <v>206</v>
      </c>
      <c r="B19" s="19" t="s">
        <v>207</v>
      </c>
      <c r="C19" s="19">
        <v>5</v>
      </c>
      <c r="D19" s="19" t="s">
        <v>208</v>
      </c>
      <c r="E19" s="19" t="s">
        <v>209</v>
      </c>
      <c r="F19" s="19" t="s">
        <v>210</v>
      </c>
      <c r="G19" s="19" t="s">
        <v>211</v>
      </c>
    </row>
    <row r="20" spans="1:7" x14ac:dyDescent="0.3">
      <c r="A20" s="19" t="s">
        <v>212</v>
      </c>
      <c r="B20" s="19" t="s">
        <v>213</v>
      </c>
      <c r="C20" s="19">
        <v>8</v>
      </c>
      <c r="D20" s="19" t="s">
        <v>214</v>
      </c>
      <c r="E20" s="19" t="s">
        <v>215</v>
      </c>
      <c r="F20" s="19" t="s">
        <v>199</v>
      </c>
      <c r="G20" s="19" t="s">
        <v>216</v>
      </c>
    </row>
    <row r="21" spans="1:7" x14ac:dyDescent="0.3">
      <c r="A21" s="17" t="s">
        <v>217</v>
      </c>
      <c r="B21" s="17" t="s">
        <v>218</v>
      </c>
      <c r="C21" s="17">
        <v>3</v>
      </c>
      <c r="D21" s="17" t="s">
        <v>197</v>
      </c>
      <c r="E21" s="17" t="s">
        <v>219</v>
      </c>
      <c r="F21" s="17" t="s">
        <v>220</v>
      </c>
      <c r="G21" s="17" t="s">
        <v>221</v>
      </c>
    </row>
    <row r="22" spans="1:7" x14ac:dyDescent="0.3">
      <c r="A22" s="45" t="s">
        <v>222</v>
      </c>
      <c r="B22" s="45"/>
      <c r="C22" s="45"/>
      <c r="D22" s="45"/>
      <c r="E22" s="45"/>
      <c r="F22" s="45"/>
      <c r="G22" s="45"/>
    </row>
    <row r="23" spans="1:7" ht="27.6" x14ac:dyDescent="0.3">
      <c r="A23" s="2" t="s">
        <v>223</v>
      </c>
      <c r="B23" s="2" t="s">
        <v>224</v>
      </c>
      <c r="C23" s="2" t="s">
        <v>225</v>
      </c>
      <c r="D23" s="2" t="s">
        <v>7</v>
      </c>
      <c r="E23" s="2" t="s">
        <v>226</v>
      </c>
      <c r="F23" s="2" t="s">
        <v>227</v>
      </c>
      <c r="G23" s="2" t="s">
        <v>228</v>
      </c>
    </row>
    <row r="24" spans="1:7" ht="28.8" x14ac:dyDescent="0.3">
      <c r="A24" s="19" t="s">
        <v>229</v>
      </c>
      <c r="B24" s="19" t="s">
        <v>210</v>
      </c>
      <c r="C24" s="19" t="s">
        <v>230</v>
      </c>
      <c r="D24" s="19" t="s">
        <v>231</v>
      </c>
      <c r="E24" s="19" t="s">
        <v>232</v>
      </c>
      <c r="F24" s="19" t="s">
        <v>233</v>
      </c>
      <c r="G24" s="19" t="s">
        <v>234</v>
      </c>
    </row>
    <row r="25" spans="1:7" ht="28.8" x14ac:dyDescent="0.3">
      <c r="A25" s="17" t="s">
        <v>235</v>
      </c>
      <c r="B25" s="17" t="s">
        <v>199</v>
      </c>
      <c r="C25" s="17" t="s">
        <v>236</v>
      </c>
      <c r="D25" s="17" t="s">
        <v>231</v>
      </c>
      <c r="E25" s="17" t="s">
        <v>237</v>
      </c>
      <c r="F25" s="17" t="s">
        <v>238</v>
      </c>
      <c r="G25" s="17" t="s">
        <v>239</v>
      </c>
    </row>
    <row r="26" spans="1:7" x14ac:dyDescent="0.3">
      <c r="A26" s="19"/>
      <c r="B26" s="19"/>
      <c r="C26" s="19"/>
      <c r="D26" s="19"/>
      <c r="E26" s="19"/>
      <c r="F26" s="19"/>
      <c r="G26" s="19"/>
    </row>
    <row r="28" spans="1:7" x14ac:dyDescent="0.3">
      <c r="A28" s="45" t="s">
        <v>240</v>
      </c>
      <c r="B28" s="45"/>
      <c r="C28" s="45"/>
      <c r="D28" s="45"/>
      <c r="E28" s="45"/>
      <c r="F28" s="45"/>
      <c r="G28" s="45"/>
    </row>
    <row r="29" spans="1:7" ht="27.6" x14ac:dyDescent="0.3">
      <c r="A29" s="2" t="s">
        <v>241</v>
      </c>
      <c r="B29" s="2" t="s">
        <v>242</v>
      </c>
      <c r="C29" s="2" t="s">
        <v>243</v>
      </c>
      <c r="D29" s="2" t="s">
        <v>244</v>
      </c>
      <c r="E29" s="2" t="s">
        <v>225</v>
      </c>
      <c r="F29" s="2" t="s">
        <v>245</v>
      </c>
      <c r="G29" s="2" t="s">
        <v>7</v>
      </c>
    </row>
    <row r="30" spans="1:7" x14ac:dyDescent="0.3">
      <c r="A30" s="19"/>
      <c r="B30" s="19"/>
      <c r="C30" s="19"/>
      <c r="D30" s="19"/>
      <c r="E30" s="19"/>
      <c r="F30" s="19"/>
      <c r="G30" s="19"/>
    </row>
    <row r="31" spans="1:7" x14ac:dyDescent="0.3">
      <c r="A31" s="19"/>
      <c r="B31" s="19"/>
      <c r="C31" s="19"/>
      <c r="D31" s="19"/>
      <c r="E31" s="19"/>
      <c r="F31" s="19"/>
      <c r="G31" s="19"/>
    </row>
    <row r="32" spans="1:7" x14ac:dyDescent="0.3">
      <c r="A32" s="19"/>
      <c r="B32" s="19"/>
      <c r="C32" s="19"/>
      <c r="D32" s="19"/>
      <c r="E32" s="19"/>
      <c r="F32" s="19"/>
      <c r="G32" s="19"/>
    </row>
    <row r="33" spans="1:7" ht="43.2" x14ac:dyDescent="0.3">
      <c r="A33" s="19" t="s">
        <v>246</v>
      </c>
      <c r="B33" s="19" t="s">
        <v>247</v>
      </c>
      <c r="C33" s="19" t="s">
        <v>248</v>
      </c>
      <c r="D33" s="19" t="s">
        <v>249</v>
      </c>
      <c r="E33" s="19" t="s">
        <v>203</v>
      </c>
      <c r="F33" s="19" t="s">
        <v>250</v>
      </c>
      <c r="G33" s="19" t="s">
        <v>251</v>
      </c>
    </row>
    <row r="34" spans="1:7" ht="43.2" x14ac:dyDescent="0.3">
      <c r="A34" s="17" t="s">
        <v>252</v>
      </c>
      <c r="B34" s="17" t="s">
        <v>253</v>
      </c>
      <c r="C34" s="17" t="s">
        <v>254</v>
      </c>
      <c r="D34" s="17" t="s">
        <v>255</v>
      </c>
      <c r="E34" s="17" t="s">
        <v>208</v>
      </c>
      <c r="F34" s="17" t="s">
        <v>256</v>
      </c>
      <c r="G34" s="17" t="s">
        <v>257</v>
      </c>
    </row>
    <row r="35" spans="1:7" ht="57.6" x14ac:dyDescent="0.3">
      <c r="A35" s="17" t="s">
        <v>9</v>
      </c>
      <c r="B35" s="17" t="s">
        <v>258</v>
      </c>
      <c r="C35" s="17" t="s">
        <v>259</v>
      </c>
      <c r="D35" s="17" t="s">
        <v>260</v>
      </c>
      <c r="E35" s="17" t="s">
        <v>214</v>
      </c>
      <c r="F35" s="17" t="s">
        <v>261</v>
      </c>
      <c r="G35" s="17" t="s">
        <v>262</v>
      </c>
    </row>
    <row r="36" spans="1:7" ht="43.2" x14ac:dyDescent="0.3">
      <c r="A36" s="17" t="s">
        <v>263</v>
      </c>
      <c r="B36" s="17" t="s">
        <v>264</v>
      </c>
      <c r="C36" s="17" t="s">
        <v>265</v>
      </c>
      <c r="D36" s="17" t="s">
        <v>266</v>
      </c>
      <c r="E36" s="17" t="s">
        <v>236</v>
      </c>
      <c r="F36" s="17" t="s">
        <v>267</v>
      </c>
      <c r="G36" s="17" t="s">
        <v>257</v>
      </c>
    </row>
  </sheetData>
  <mergeCells count="5">
    <mergeCell ref="A1:G1"/>
    <mergeCell ref="A5:G5"/>
    <mergeCell ref="A14:G14"/>
    <mergeCell ref="A22:G22"/>
    <mergeCell ref="A28:G2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63"/>
  <sheetViews>
    <sheetView zoomScaleNormal="100" workbookViewId="0">
      <selection activeCell="D15" sqref="D15"/>
    </sheetView>
  </sheetViews>
  <sheetFormatPr defaultColWidth="8.6640625" defaultRowHeight="14.4" x14ac:dyDescent="0.3"/>
  <cols>
    <col min="1" max="1" width="25" style="1" customWidth="1"/>
    <col min="2" max="7" width="12" style="1" customWidth="1"/>
    <col min="8" max="9" width="10" style="1" customWidth="1"/>
  </cols>
  <sheetData>
    <row r="1" spans="1:11" ht="17.25" customHeight="1" x14ac:dyDescent="0.3">
      <c r="A1" s="36" t="s">
        <v>290</v>
      </c>
      <c r="B1" s="36"/>
      <c r="C1" s="36"/>
      <c r="D1" s="36"/>
      <c r="E1" s="36"/>
      <c r="F1" s="36"/>
      <c r="G1" s="36"/>
      <c r="H1" s="36"/>
      <c r="I1" s="36"/>
      <c r="J1" s="36"/>
      <c r="K1" s="36"/>
    </row>
    <row r="3" spans="1:11" ht="15" customHeight="1" x14ac:dyDescent="0.3">
      <c r="A3" s="47" t="s">
        <v>291</v>
      </c>
      <c r="B3" s="47"/>
      <c r="C3" s="47"/>
      <c r="D3" s="47"/>
      <c r="E3" s="47"/>
      <c r="F3" s="47"/>
      <c r="G3" s="47"/>
      <c r="H3" s="47"/>
      <c r="I3" s="47"/>
      <c r="J3" s="47"/>
      <c r="K3" s="47"/>
    </row>
    <row r="4" spans="1:11" ht="15" customHeight="1" x14ac:dyDescent="0.3">
      <c r="A4" s="11" t="s">
        <v>292</v>
      </c>
      <c r="B4" s="1" t="s">
        <v>293</v>
      </c>
      <c r="D4" s="11" t="s">
        <v>294</v>
      </c>
      <c r="E4" s="1" t="s">
        <v>295</v>
      </c>
      <c r="G4" s="11" t="s">
        <v>296</v>
      </c>
      <c r="H4" s="1" t="s">
        <v>297</v>
      </c>
    </row>
    <row r="5" spans="1:11" ht="15" customHeight="1" x14ac:dyDescent="0.3">
      <c r="A5" s="11" t="s">
        <v>298</v>
      </c>
      <c r="B5" s="1" t="s">
        <v>299</v>
      </c>
      <c r="D5" s="11" t="s">
        <v>300</v>
      </c>
      <c r="E5" s="1" t="s">
        <v>301</v>
      </c>
      <c r="G5" s="11" t="s">
        <v>302</v>
      </c>
      <c r="H5" s="1" t="s">
        <v>303</v>
      </c>
    </row>
    <row r="6" spans="1:11" ht="15" customHeight="1" x14ac:dyDescent="0.3">
      <c r="A6" s="11" t="s">
        <v>304</v>
      </c>
      <c r="B6" s="1" t="s">
        <v>305</v>
      </c>
      <c r="D6" s="11" t="s">
        <v>306</v>
      </c>
      <c r="E6" s="1" t="s">
        <v>307</v>
      </c>
      <c r="G6" s="11" t="s">
        <v>308</v>
      </c>
      <c r="H6" s="1" t="s">
        <v>309</v>
      </c>
    </row>
    <row r="9" spans="1:11" ht="15" customHeight="1" x14ac:dyDescent="0.3">
      <c r="A9" s="47" t="s">
        <v>310</v>
      </c>
      <c r="B9" s="47"/>
      <c r="C9" s="47"/>
      <c r="D9" s="47"/>
      <c r="E9" s="47"/>
      <c r="F9" s="47"/>
      <c r="G9" s="47"/>
      <c r="H9" s="47"/>
      <c r="I9" s="47"/>
      <c r="J9" s="47"/>
      <c r="K9" s="47"/>
    </row>
    <row r="10" spans="1:11" ht="15" customHeight="1" x14ac:dyDescent="0.3">
      <c r="A10" s="10" t="s">
        <v>5</v>
      </c>
      <c r="B10" s="10" t="s">
        <v>311</v>
      </c>
      <c r="C10" s="10" t="s">
        <v>312</v>
      </c>
      <c r="D10" s="10" t="s">
        <v>313</v>
      </c>
      <c r="E10" s="10" t="s">
        <v>314</v>
      </c>
      <c r="F10" s="10" t="s">
        <v>3</v>
      </c>
      <c r="G10" s="10" t="s">
        <v>315</v>
      </c>
      <c r="H10" s="10" t="s">
        <v>178</v>
      </c>
      <c r="I10" s="10" t="s">
        <v>316</v>
      </c>
    </row>
    <row r="11" spans="1:11" ht="15" customHeight="1" x14ac:dyDescent="0.3">
      <c r="A11" s="1" t="s">
        <v>183</v>
      </c>
      <c r="B11" s="1">
        <v>40</v>
      </c>
      <c r="C11" s="1">
        <v>42.5</v>
      </c>
      <c r="D11" s="1">
        <v>42.5</v>
      </c>
      <c r="E11" s="1">
        <f>AVERAGE(B11:D11)</f>
        <v>41.666666666666664</v>
      </c>
      <c r="F11" s="1">
        <v>45</v>
      </c>
      <c r="G11" s="1" t="s">
        <v>317</v>
      </c>
      <c r="H11" s="1" t="s">
        <v>273</v>
      </c>
      <c r="I11" s="9" t="s">
        <v>318</v>
      </c>
    </row>
    <row r="12" spans="1:11" ht="15" customHeight="1" x14ac:dyDescent="0.3">
      <c r="A12" s="1" t="s">
        <v>269</v>
      </c>
      <c r="B12" s="1" t="s">
        <v>274</v>
      </c>
      <c r="C12" s="1" t="s">
        <v>319</v>
      </c>
      <c r="D12" s="1" t="s">
        <v>274</v>
      </c>
      <c r="E12" s="1" t="s">
        <v>320</v>
      </c>
      <c r="F12" s="1" t="s">
        <v>321</v>
      </c>
      <c r="G12" s="1" t="s">
        <v>322</v>
      </c>
      <c r="H12" s="1" t="s">
        <v>273</v>
      </c>
      <c r="I12" s="8" t="s">
        <v>323</v>
      </c>
    </row>
    <row r="13" spans="1:11" ht="15" customHeight="1" x14ac:dyDescent="0.3">
      <c r="A13" s="1" t="s">
        <v>62</v>
      </c>
      <c r="B13" s="1" t="s">
        <v>324</v>
      </c>
      <c r="C13" s="1" t="s">
        <v>325</v>
      </c>
      <c r="D13" s="1" t="s">
        <v>276</v>
      </c>
      <c r="E13" s="1" t="s">
        <v>326</v>
      </c>
      <c r="F13" s="1" t="s">
        <v>324</v>
      </c>
      <c r="G13" s="1" t="s">
        <v>327</v>
      </c>
      <c r="H13" s="1" t="s">
        <v>273</v>
      </c>
      <c r="I13" s="8" t="s">
        <v>323</v>
      </c>
    </row>
    <row r="14" spans="1:11" ht="15" customHeight="1" x14ac:dyDescent="0.3">
      <c r="A14" s="1" t="s">
        <v>1</v>
      </c>
      <c r="B14" s="1">
        <v>1.8</v>
      </c>
      <c r="C14" s="1">
        <v>1.5</v>
      </c>
      <c r="D14" s="1">
        <v>1.35</v>
      </c>
      <c r="E14" s="1">
        <f>AVERAGE(B14:D14)</f>
        <v>1.55</v>
      </c>
      <c r="F14" s="1" t="s">
        <v>277</v>
      </c>
      <c r="G14" s="1" t="s">
        <v>272</v>
      </c>
      <c r="H14" s="1" t="s">
        <v>278</v>
      </c>
      <c r="I14" s="8" t="s">
        <v>323</v>
      </c>
    </row>
    <row r="15" spans="1:11" ht="15" customHeight="1" x14ac:dyDescent="0.3">
      <c r="A15" s="1" t="s">
        <v>21</v>
      </c>
      <c r="B15" s="1" t="s">
        <v>286</v>
      </c>
      <c r="C15" s="1" t="s">
        <v>280</v>
      </c>
      <c r="D15" s="1" t="s">
        <v>280</v>
      </c>
      <c r="E15" s="1" t="s">
        <v>279</v>
      </c>
      <c r="F15" s="1" t="s">
        <v>281</v>
      </c>
      <c r="G15" s="1" t="s">
        <v>328</v>
      </c>
      <c r="H15" s="1" t="s">
        <v>278</v>
      </c>
      <c r="I15" s="9" t="s">
        <v>318</v>
      </c>
    </row>
    <row r="16" spans="1:11" ht="15" customHeight="1" x14ac:dyDescent="0.3">
      <c r="A16" s="1" t="s">
        <v>282</v>
      </c>
      <c r="B16" s="1">
        <v>4.2</v>
      </c>
      <c r="C16" s="1">
        <v>3.5</v>
      </c>
      <c r="D16" s="1">
        <v>3.15</v>
      </c>
      <c r="E16" s="1">
        <f>AVERAGE(B16:D16)</f>
        <v>3.6166666666666667</v>
      </c>
      <c r="F16" s="1" t="s">
        <v>283</v>
      </c>
      <c r="G16" s="1" t="s">
        <v>272</v>
      </c>
      <c r="H16" s="1" t="s">
        <v>278</v>
      </c>
      <c r="I16" s="8" t="s">
        <v>323</v>
      </c>
    </row>
    <row r="17" spans="1:11" ht="15" customHeight="1" x14ac:dyDescent="0.3">
      <c r="A17" s="1" t="s">
        <v>268</v>
      </c>
      <c r="B17" s="1" t="s">
        <v>329</v>
      </c>
      <c r="C17" s="1" t="s">
        <v>330</v>
      </c>
      <c r="D17" s="1" t="s">
        <v>331</v>
      </c>
      <c r="E17" s="1" t="s">
        <v>332</v>
      </c>
      <c r="F17" s="1" t="s">
        <v>281</v>
      </c>
      <c r="G17" s="1" t="s">
        <v>272</v>
      </c>
      <c r="H17" s="1" t="s">
        <v>278</v>
      </c>
      <c r="I17" s="8" t="s">
        <v>333</v>
      </c>
    </row>
    <row r="18" spans="1:11" ht="15" customHeight="1" x14ac:dyDescent="0.3">
      <c r="A18" s="1" t="s">
        <v>26</v>
      </c>
      <c r="B18" s="1" t="s">
        <v>334</v>
      </c>
      <c r="C18" s="1" t="s">
        <v>335</v>
      </c>
      <c r="D18" s="1" t="s">
        <v>336</v>
      </c>
      <c r="E18" s="1" t="s">
        <v>335</v>
      </c>
      <c r="F18" s="1" t="s">
        <v>275</v>
      </c>
      <c r="G18" s="1" t="s">
        <v>337</v>
      </c>
      <c r="H18" s="1" t="s">
        <v>273</v>
      </c>
      <c r="I18" s="8" t="s">
        <v>323</v>
      </c>
    </row>
    <row r="19" spans="1:11" ht="15" customHeight="1" x14ac:dyDescent="0.3">
      <c r="A19" s="1" t="s">
        <v>338</v>
      </c>
      <c r="B19" s="1">
        <v>1.5</v>
      </c>
      <c r="C19" s="1">
        <v>2</v>
      </c>
      <c r="D19" s="1">
        <v>2.5</v>
      </c>
      <c r="E19" s="1">
        <f>AVERAGE(B19:D19)</f>
        <v>2</v>
      </c>
      <c r="F19" s="1" t="s">
        <v>284</v>
      </c>
      <c r="G19" s="1" t="s">
        <v>272</v>
      </c>
      <c r="H19" s="1" t="s">
        <v>273</v>
      </c>
      <c r="I19" s="8" t="s">
        <v>323</v>
      </c>
    </row>
    <row r="20" spans="1:11" ht="15" customHeight="1" x14ac:dyDescent="0.3">
      <c r="A20" s="1" t="s">
        <v>112</v>
      </c>
      <c r="B20" s="1" t="s">
        <v>339</v>
      </c>
      <c r="C20" s="1" t="s">
        <v>285</v>
      </c>
      <c r="D20" s="1" t="s">
        <v>287</v>
      </c>
      <c r="E20" s="1" t="s">
        <v>340</v>
      </c>
      <c r="F20" s="1" t="s">
        <v>288</v>
      </c>
      <c r="G20" s="1" t="s">
        <v>272</v>
      </c>
      <c r="H20" s="1" t="s">
        <v>278</v>
      </c>
      <c r="I20" s="8" t="s">
        <v>323</v>
      </c>
    </row>
    <row r="21" spans="1:11" ht="15" customHeight="1" x14ac:dyDescent="0.3">
      <c r="A21" s="1" t="s">
        <v>6</v>
      </c>
      <c r="B21" s="1">
        <v>14</v>
      </c>
      <c r="C21" s="1">
        <v>11</v>
      </c>
      <c r="D21" s="1">
        <v>10</v>
      </c>
      <c r="E21" s="1">
        <f>AVERAGE(B21:D21)</f>
        <v>11.666666666666666</v>
      </c>
      <c r="F21" s="1" t="s">
        <v>341</v>
      </c>
      <c r="G21" s="1" t="s">
        <v>272</v>
      </c>
      <c r="H21" s="1" t="s">
        <v>278</v>
      </c>
      <c r="I21" s="8" t="s">
        <v>323</v>
      </c>
    </row>
    <row r="22" spans="1:11" ht="15" customHeight="1" x14ac:dyDescent="0.3">
      <c r="A22" s="1" t="s">
        <v>2</v>
      </c>
      <c r="B22" s="1">
        <v>3.7</v>
      </c>
      <c r="C22" s="1">
        <v>3.9</v>
      </c>
      <c r="D22" s="1">
        <v>4.05</v>
      </c>
      <c r="E22" s="1">
        <f>AVERAGE(B22:D22)</f>
        <v>3.8833333333333329</v>
      </c>
      <c r="F22" s="1" t="s">
        <v>289</v>
      </c>
      <c r="G22" s="1" t="str">
        <f>IF(E22&gt;=4,"✓","✗")</f>
        <v>✗</v>
      </c>
      <c r="H22" s="1" t="s">
        <v>273</v>
      </c>
      <c r="I22" s="8" t="s">
        <v>333</v>
      </c>
    </row>
    <row r="23" spans="1:11" ht="15" customHeight="1" x14ac:dyDescent="0.3">
      <c r="A23" s="1" t="s">
        <v>270</v>
      </c>
      <c r="B23" s="1" t="s">
        <v>342</v>
      </c>
      <c r="C23" s="1" t="s">
        <v>343</v>
      </c>
      <c r="D23" s="1" t="s">
        <v>344</v>
      </c>
      <c r="E23" s="1" t="s">
        <v>343</v>
      </c>
      <c r="F23" s="1" t="s">
        <v>345</v>
      </c>
      <c r="G23" s="1" t="s">
        <v>272</v>
      </c>
      <c r="H23" s="1" t="s">
        <v>273</v>
      </c>
      <c r="I23" s="8" t="s">
        <v>323</v>
      </c>
    </row>
    <row r="24" spans="1:11" ht="15" customHeight="1" x14ac:dyDescent="0.3">
      <c r="A24" s="1" t="s">
        <v>271</v>
      </c>
      <c r="B24" s="1">
        <v>3.9</v>
      </c>
      <c r="C24" s="1">
        <v>4.0999999999999996</v>
      </c>
      <c r="D24" s="1">
        <v>4.25</v>
      </c>
      <c r="E24" s="1">
        <f>AVERAGE(B24:D24)</f>
        <v>4.083333333333333</v>
      </c>
      <c r="F24" s="1" t="s">
        <v>289</v>
      </c>
      <c r="G24" s="1" t="s">
        <v>272</v>
      </c>
      <c r="H24" s="1" t="s">
        <v>273</v>
      </c>
      <c r="I24" s="8" t="s">
        <v>323</v>
      </c>
    </row>
    <row r="27" spans="1:11" ht="15" customHeight="1" x14ac:dyDescent="0.3">
      <c r="A27" s="47" t="s">
        <v>346</v>
      </c>
      <c r="B27" s="47"/>
      <c r="C27" s="47"/>
      <c r="D27" s="47"/>
      <c r="E27" s="47"/>
      <c r="F27" s="47"/>
      <c r="G27" s="47"/>
      <c r="H27" s="47"/>
      <c r="I27" s="47"/>
      <c r="J27" s="47"/>
      <c r="K27" s="47"/>
    </row>
    <row r="28" spans="1:11" ht="60" customHeight="1" x14ac:dyDescent="0.3">
      <c r="A28" s="11" t="s">
        <v>347</v>
      </c>
      <c r="B28" s="46" t="s">
        <v>348</v>
      </c>
      <c r="C28" s="46"/>
      <c r="D28" s="46"/>
      <c r="E28" s="46"/>
      <c r="F28" s="46"/>
      <c r="G28" s="46"/>
      <c r="H28" s="46"/>
      <c r="I28" s="46"/>
      <c r="J28" s="46"/>
      <c r="K28" s="46"/>
    </row>
    <row r="29" spans="1:11" ht="60" customHeight="1" x14ac:dyDescent="0.3">
      <c r="A29" s="11" t="s">
        <v>349</v>
      </c>
      <c r="B29" s="46" t="s">
        <v>350</v>
      </c>
      <c r="C29" s="46"/>
      <c r="D29" s="46"/>
      <c r="E29" s="46"/>
      <c r="F29" s="46"/>
      <c r="G29" s="46"/>
      <c r="H29" s="46"/>
      <c r="I29" s="46"/>
      <c r="J29" s="46"/>
      <c r="K29" s="46"/>
    </row>
    <row r="30" spans="1:11" ht="60" customHeight="1" x14ac:dyDescent="0.3">
      <c r="A30" s="11" t="s">
        <v>351</v>
      </c>
      <c r="B30" s="46" t="s">
        <v>352</v>
      </c>
      <c r="C30" s="46"/>
      <c r="D30" s="46"/>
      <c r="E30" s="46"/>
      <c r="F30" s="46"/>
      <c r="G30" s="46"/>
      <c r="H30" s="46"/>
      <c r="I30" s="46"/>
      <c r="J30" s="46"/>
      <c r="K30" s="46"/>
    </row>
    <row r="31" spans="1:11" ht="60" customHeight="1" x14ac:dyDescent="0.3">
      <c r="A31" s="11" t="s">
        <v>353</v>
      </c>
      <c r="B31" s="46" t="s">
        <v>354</v>
      </c>
      <c r="C31" s="46"/>
      <c r="D31" s="46"/>
      <c r="E31" s="46"/>
      <c r="F31" s="46"/>
      <c r="G31" s="46"/>
      <c r="H31" s="46"/>
      <c r="I31" s="46"/>
      <c r="J31" s="46"/>
      <c r="K31" s="46"/>
    </row>
    <row r="32" spans="1:11" ht="60" customHeight="1" x14ac:dyDescent="0.3">
      <c r="A32" s="11" t="s">
        <v>355</v>
      </c>
      <c r="B32" s="46" t="s">
        <v>356</v>
      </c>
      <c r="C32" s="46"/>
      <c r="D32" s="46"/>
      <c r="E32" s="46"/>
      <c r="F32" s="46"/>
      <c r="G32" s="46"/>
      <c r="H32" s="46"/>
      <c r="I32" s="46"/>
      <c r="J32" s="46"/>
      <c r="K32" s="46"/>
    </row>
    <row r="35" spans="1:11" ht="15" customHeight="1" x14ac:dyDescent="0.3">
      <c r="A35" s="47" t="s">
        <v>357</v>
      </c>
      <c r="B35" s="47"/>
      <c r="C35" s="47"/>
      <c r="D35" s="47"/>
      <c r="E35" s="47"/>
      <c r="F35" s="47"/>
      <c r="G35" s="47"/>
      <c r="H35" s="47"/>
      <c r="I35" s="47"/>
      <c r="J35" s="47"/>
      <c r="K35" s="47"/>
    </row>
    <row r="36" spans="1:11" ht="49.5" customHeight="1" x14ac:dyDescent="0.3">
      <c r="A36" s="11" t="s">
        <v>358</v>
      </c>
      <c r="B36" s="46" t="s">
        <v>359</v>
      </c>
      <c r="C36" s="46"/>
      <c r="D36" s="46"/>
      <c r="E36" s="46"/>
      <c r="F36" s="46"/>
      <c r="G36" s="46"/>
      <c r="H36" s="46"/>
      <c r="I36" s="46"/>
      <c r="J36" s="46"/>
      <c r="K36" s="46"/>
    </row>
    <row r="37" spans="1:11" ht="49.5" customHeight="1" x14ac:dyDescent="0.3">
      <c r="A37" s="11" t="s">
        <v>360</v>
      </c>
      <c r="B37" s="46" t="s">
        <v>361</v>
      </c>
      <c r="C37" s="46"/>
      <c r="D37" s="46"/>
      <c r="E37" s="46"/>
      <c r="F37" s="46"/>
      <c r="G37" s="46"/>
      <c r="H37" s="46"/>
      <c r="I37" s="46"/>
      <c r="J37" s="46"/>
      <c r="K37" s="46"/>
    </row>
    <row r="38" spans="1:11" ht="49.5" customHeight="1" x14ac:dyDescent="0.3">
      <c r="A38" s="11" t="s">
        <v>362</v>
      </c>
      <c r="B38" s="46" t="s">
        <v>363</v>
      </c>
      <c r="C38" s="46"/>
      <c r="D38" s="46"/>
      <c r="E38" s="46"/>
      <c r="F38" s="46"/>
      <c r="G38" s="46"/>
      <c r="H38" s="46"/>
      <c r="I38" s="46"/>
      <c r="J38" s="46"/>
      <c r="K38" s="46"/>
    </row>
    <row r="39" spans="1:11" ht="49.5" customHeight="1" x14ac:dyDescent="0.3">
      <c r="A39" s="11" t="s">
        <v>364</v>
      </c>
      <c r="B39" s="46" t="s">
        <v>365</v>
      </c>
      <c r="C39" s="46"/>
      <c r="D39" s="46"/>
      <c r="E39" s="46"/>
      <c r="F39" s="46"/>
      <c r="G39" s="46"/>
      <c r="H39" s="46"/>
      <c r="I39" s="46"/>
      <c r="J39" s="46"/>
      <c r="K39" s="46"/>
    </row>
    <row r="50" spans="1:3" x14ac:dyDescent="0.3">
      <c r="A50" s="1" t="s">
        <v>4</v>
      </c>
      <c r="B50" s="1" t="s">
        <v>0</v>
      </c>
      <c r="C50" s="1" t="s">
        <v>3</v>
      </c>
    </row>
    <row r="51" spans="1:3" x14ac:dyDescent="0.3">
      <c r="A51" s="1" t="s">
        <v>366</v>
      </c>
      <c r="B51" s="1">
        <v>40</v>
      </c>
      <c r="C51" s="1">
        <v>45</v>
      </c>
    </row>
    <row r="52" spans="1:3" x14ac:dyDescent="0.3">
      <c r="A52" s="1" t="s">
        <v>367</v>
      </c>
      <c r="B52" s="1">
        <v>42.5</v>
      </c>
      <c r="C52" s="1">
        <v>45</v>
      </c>
    </row>
    <row r="53" spans="1:3" x14ac:dyDescent="0.3">
      <c r="A53" s="1" t="s">
        <v>368</v>
      </c>
      <c r="B53" s="1">
        <v>42.5</v>
      </c>
      <c r="C53" s="1">
        <v>45</v>
      </c>
    </row>
    <row r="60" spans="1:3" x14ac:dyDescent="0.3">
      <c r="A60" s="1" t="s">
        <v>4</v>
      </c>
      <c r="B60" s="1" t="s">
        <v>8</v>
      </c>
    </row>
    <row r="61" spans="1:3" x14ac:dyDescent="0.3">
      <c r="A61" s="1" t="s">
        <v>366</v>
      </c>
      <c r="B61" s="1">
        <v>3.7</v>
      </c>
    </row>
    <row r="62" spans="1:3" x14ac:dyDescent="0.3">
      <c r="A62" s="1" t="s">
        <v>367</v>
      </c>
      <c r="B62" s="1">
        <v>3.9</v>
      </c>
    </row>
    <row r="63" spans="1:3" x14ac:dyDescent="0.3">
      <c r="A63" s="1" t="s">
        <v>368</v>
      </c>
      <c r="B63" s="1">
        <v>4.05</v>
      </c>
    </row>
  </sheetData>
  <mergeCells count="14">
    <mergeCell ref="A1:K1"/>
    <mergeCell ref="A3:K3"/>
    <mergeCell ref="A9:K9"/>
    <mergeCell ref="A27:K27"/>
    <mergeCell ref="B28:K28"/>
    <mergeCell ref="B36:K36"/>
    <mergeCell ref="B37:K37"/>
    <mergeCell ref="B38:K38"/>
    <mergeCell ref="B39:K39"/>
    <mergeCell ref="B29:K29"/>
    <mergeCell ref="B30:K30"/>
    <mergeCell ref="B31:K31"/>
    <mergeCell ref="B32:K32"/>
    <mergeCell ref="A35:K35"/>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1. Product Metrics</vt:lpstr>
      <vt:lpstr>2. Team Metrics</vt:lpstr>
      <vt:lpstr>3. Report Structure</vt:lpstr>
      <vt:lpstr>4. Sprint Report Template</vt:lpstr>
      <vt:lpstr>Sample Quarterly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Trần Thúy  Vy</cp:lastModifiedBy>
  <cp:revision>1</cp:revision>
  <dcterms:created xsi:type="dcterms:W3CDTF">2025-12-29T08:44:08Z</dcterms:created>
  <dcterms:modified xsi:type="dcterms:W3CDTF">2026-01-30T04:36:58Z</dcterms:modified>
  <dc:language>en-US</dc:language>
</cp:coreProperties>
</file>