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E:\DuyLe\Source\VnrProcess\Reports\"/>
    </mc:Choice>
  </mc:AlternateContent>
  <xr:revisionPtr revIDLastSave="0" documentId="13_ncr:1_{57E963B6-60F3-4C38-BA28-7FDE20AB5B82}" xr6:coauthVersionLast="47" xr6:coauthVersionMax="47" xr10:uidLastSave="{00000000-0000-0000-0000-000000000000}"/>
  <bookViews>
    <workbookView xWindow="28680" yWindow="-120" windowWidth="29040" windowHeight="15840" tabRatio="500" firstSheet="1" activeTab="2" xr2:uid="{00000000-000D-0000-FFFF-FFFF00000000}"/>
  </bookViews>
  <sheets>
    <sheet name="Sheet1" sheetId="10" state="hidden" r:id="rId1"/>
    <sheet name="1. Report Structure" sheetId="4" r:id="rId2"/>
    <sheet name="2. Sample Quarterly Report" sheetId="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4" i="9" l="1"/>
  <c r="E22" i="9"/>
  <c r="G22" i="9" s="1"/>
  <c r="E21" i="9"/>
  <c r="E19" i="9"/>
  <c r="E16" i="9"/>
  <c r="E14" i="9"/>
  <c r="E11" i="9"/>
</calcChain>
</file>

<file path=xl/sharedStrings.xml><?xml version="1.0" encoding="utf-8"?>
<sst xmlns="http://schemas.openxmlformats.org/spreadsheetml/2006/main" count="275" uniqueCount="218">
  <si>
    <t>Velocity</t>
  </si>
  <si>
    <t>Defect Density</t>
  </si>
  <si>
    <t>Team Happiness</t>
  </si>
  <si>
    <t>Target</t>
  </si>
  <si>
    <t>Month</t>
  </si>
  <si>
    <t>Metric</t>
  </si>
  <si>
    <t>Lead Time (days)</t>
  </si>
  <si>
    <t>Happiness</t>
  </si>
  <si>
    <t>Chỉ số</t>
  </si>
  <si>
    <t>Định nghĩa</t>
  </si>
  <si>
    <t>Ghi chú</t>
  </si>
  <si>
    <t>A. CHẤT LƯỢNG SẢN PHẨM</t>
  </si>
  <si>
    <t>Bug Escape Rate</t>
  </si>
  <si>
    <t>Technical Debt Ratio</t>
  </si>
  <si>
    <t>Code Coverage</t>
  </si>
  <si>
    <t>B. GIÁ TRỊ KINH DOANH</t>
  </si>
  <si>
    <t>Feature Adoption Rate</t>
  </si>
  <si>
    <t>Customer Satisfaction (CSAT)</t>
  </si>
  <si>
    <t>Business Value Delivered</t>
  </si>
  <si>
    <t>Time to Market</t>
  </si>
  <si>
    <t>Thời gian từ ý tưởng đến release</t>
  </si>
  <si>
    <t>CHỈ SỐ VỀ TEAM (TEAM PERFORMANCE METRICS)</t>
  </si>
  <si>
    <t>A. HIỆU SUẤT LÀM VIỆC</t>
  </si>
  <si>
    <t>Sprint Goal Success Rate</t>
  </si>
  <si>
    <t>Commitment Reliability</t>
  </si>
  <si>
    <t>Cycle Time</t>
  </si>
  <si>
    <t>Thời gian từ start đến done</t>
  </si>
  <si>
    <t>Lead Time</t>
  </si>
  <si>
    <t>Thời gian từ tạo yêu cầu đến production</t>
  </si>
  <si>
    <t>B. CHẤT LƯỢNG QUY TRÌNH</t>
  </si>
  <si>
    <t>Sprint Burndown Trend</t>
  </si>
  <si>
    <t>Xu hướng hoàn thành công việc</t>
  </si>
  <si>
    <t>Work Item Age</t>
  </si>
  <si>
    <t>Blocked Items %</t>
  </si>
  <si>
    <t>Tỷ lệ items bị block</t>
  </si>
  <si>
    <t>Avg Block Duration</t>
  </si>
  <si>
    <t>Thời gian trung bình bị block</t>
  </si>
  <si>
    <t>Deployment Frequency</t>
  </si>
  <si>
    <t>Change Failure Rate</t>
  </si>
  <si>
    <t>Tỷ lệ deploy gây lỗi</t>
  </si>
  <si>
    <t>C. HEALTH TEAM</t>
  </si>
  <si>
    <t>Team Happiness Index</t>
  </si>
  <si>
    <t>Chỉ số hài lòng của team</t>
  </si>
  <si>
    <t>Retro Action Completion</t>
  </si>
  <si>
    <t>Hoàn thành action items từ retro</t>
  </si>
  <si>
    <t>Meeting Effectiveness</t>
  </si>
  <si>
    <t>Hiệu quả các ceremonies</t>
  </si>
  <si>
    <t>Team Stability</t>
  </si>
  <si>
    <t>Tính ổn định thành viên</t>
  </si>
  <si>
    <t>Collaboration Index</t>
  </si>
  <si>
    <t>Mức độ collaboration</t>
  </si>
  <si>
    <t>CẤU TRÚC BÁO CÁO THEO THỜI GIAN</t>
  </si>
  <si>
    <t>Loại báo cáo</t>
  </si>
  <si>
    <t>Tần suất</t>
  </si>
  <si>
    <t>Nội dung chính</t>
  </si>
  <si>
    <t>Metrics ưu tiên</t>
  </si>
  <si>
    <t>Người nhận</t>
  </si>
  <si>
    <t>SPRINT REPORT</t>
  </si>
  <si>
    <t>Mỗi sprint (2 tuần)</t>
  </si>
  <si>
    <t>• Sprint Goal achieved?
• Velocity &amp; Throughput
• Sprint Burndown
• Completed stories
• Key impediments
• Lessons learned</t>
  </si>
  <si>
    <t>• Sprint Goal Success
• Velocity
• Commitment Reliability
• Blocked Items
• Bug Escape Rate</t>
  </si>
  <si>
    <t>• Team members
• Scrum Master
• Product Owner
• Direct Manager</t>
  </si>
  <si>
    <t>Report ngay sau Sprint Review</t>
  </si>
  <si>
    <t>MONTHLY REPORT</t>
  </si>
  <si>
    <t>Hàng tháng</t>
  </si>
  <si>
    <t>• Tổng hợp 2 sprints
• Trend analysis
• Team happiness
• Deployment frequency
• Quality metrics
• Retro actions status</t>
  </si>
  <si>
    <t>• Velocity trend (2 sprints)
• Defect Density
• MTTR
• Team Happiness
• Change Failure Rate
• Feature Adoption (nếu có release)</t>
  </si>
  <si>
    <t>• Team
• Product Owner
• Engineering Manager
• Stakeholders</t>
  </si>
  <si>
    <t>Focus vào trends &amp; patterns</t>
  </si>
  <si>
    <t>QUARTERLY REPORT (3-6 THÁNG)</t>
  </si>
  <si>
    <t>Mỗi quý</t>
  </si>
  <si>
    <t>• Performance trends (6 sprints)
• Quality improvements
• Team health
• Business value delivered
• Process improvements
• Technical debt status</t>
  </si>
  <si>
    <t>TẤT CẢ metrics trong:
• Product Metrics (Sheet 1)
• Team Metrics (Sheet 2)
Phân tích xu hướng &amp; so sánh quý trước</t>
  </si>
  <si>
    <t>• Team
• Product Owner
• Engineering Manager
• Department Head
• Executive team</t>
  </si>
  <si>
    <t>Deep dive analysis với visualizations</t>
  </si>
  <si>
    <t>ANNUAL REPORT</t>
  </si>
  <si>
    <t>Cuối năm</t>
  </si>
  <si>
    <t>• Year-over-year comparison
• Major achievements
• All metrics summary
• Team growth
• ROI analysis
• Strategic recommendations
• Next year OKRs</t>
  </si>
  <si>
    <t>TẤT CẢ metrics + bổ sung:
• Annual throughput
• Cost efficiency
• Innovation metrics
• Team growth
• Customer satisfaction trends
• Business impact</t>
  </si>
  <si>
    <t>• Toàn bộ organization
• Executive team
• HR
• Finance
• C-level</t>
  </si>
  <si>
    <t>Comprehensive report với executive summary</t>
  </si>
  <si>
    <t>Trend</t>
  </si>
  <si>
    <t>Velocity (SP)</t>
  </si>
  <si>
    <t>Technical Debt</t>
  </si>
  <si>
    <t>Sprint Goal Success</t>
  </si>
  <si>
    <t>Feature Adoption</t>
  </si>
  <si>
    <t>Customer Satisfaction</t>
  </si>
  <si>
    <t>✓</t>
  </si>
  <si>
    <t>↗</t>
  </si>
  <si>
    <t>100%</t>
  </si>
  <si>
    <t>&gt;80%</t>
  </si>
  <si>
    <t>92%</t>
  </si>
  <si>
    <t>&lt;2</t>
  </si>
  <si>
    <t>↘</t>
  </si>
  <si>
    <t>6%</t>
  </si>
  <si>
    <t>5%</t>
  </si>
  <si>
    <t>&lt;5%</t>
  </si>
  <si>
    <t>MTTR (hours)</t>
  </si>
  <si>
    <t>&lt;4</t>
  </si>
  <si>
    <t>&gt;=2</t>
  </si>
  <si>
    <t>12%</t>
  </si>
  <si>
    <t>8%</t>
  </si>
  <si>
    <t>10%</t>
  </si>
  <si>
    <t>&lt;15%</t>
  </si>
  <si>
    <t>&gt;4.0</t>
  </si>
  <si>
    <t>BÁO CÁO QUÝ 4/2025 (OCTOBER - DECEMBER)</t>
  </si>
  <si>
    <t>QUARTER OVERVIEW</t>
  </si>
  <si>
    <t>Total Sprints:</t>
  </si>
  <si>
    <t>6</t>
  </si>
  <si>
    <t>Sprint Goals Achieved:</t>
  </si>
  <si>
    <t>5/6 (83%)</t>
  </si>
  <si>
    <t>Overall Status:</t>
  </si>
  <si>
    <t>✓ On Track</t>
  </si>
  <si>
    <t>Total Story Points:</t>
  </si>
  <si>
    <t>258</t>
  </si>
  <si>
    <t>Features Released:</t>
  </si>
  <si>
    <t>12</t>
  </si>
  <si>
    <t>Production Deploys:</t>
  </si>
  <si>
    <t>18</t>
  </si>
  <si>
    <t>Avg Velocity:</t>
  </si>
  <si>
    <t>43 SP/sprint</t>
  </si>
  <si>
    <t>Bugs Fixed:</t>
  </si>
  <si>
    <t>47</t>
  </si>
  <si>
    <t>Zero-downtime deploys:</t>
  </si>
  <si>
    <t>18/18 (100%)</t>
  </si>
  <si>
    <t>METRICS TREND ANALYSIS (6 SPRINTS)</t>
  </si>
  <si>
    <t>Oct (Avg)</t>
  </si>
  <si>
    <t>Nov (Avg)</t>
  </si>
  <si>
    <t>Dec (Avg)</t>
  </si>
  <si>
    <t>Q4 Avg</t>
  </si>
  <si>
    <t>Achievement</t>
  </si>
  <si>
    <t>Grade</t>
  </si>
  <si>
    <t>94%</t>
  </si>
  <si>
    <t>B+</t>
  </si>
  <si>
    <t>50%</t>
  </si>
  <si>
    <t>83%</t>
  </si>
  <si>
    <t>80%</t>
  </si>
  <si>
    <t>104%</t>
  </si>
  <si>
    <t>A</t>
  </si>
  <si>
    <t>85%</t>
  </si>
  <si>
    <t>90%</t>
  </si>
  <si>
    <t>89%</t>
  </si>
  <si>
    <t>105%</t>
  </si>
  <si>
    <t>Needs Work</t>
  </si>
  <si>
    <t>4.5%</t>
  </si>
  <si>
    <t>3.8%</t>
  </si>
  <si>
    <t>3.5%</t>
  </si>
  <si>
    <t>3.9%</t>
  </si>
  <si>
    <t>A-</t>
  </si>
  <si>
    <t>75%</t>
  </si>
  <si>
    <t>78%</t>
  </si>
  <si>
    <t>82%</t>
  </si>
  <si>
    <t>98%</t>
  </si>
  <si>
    <t>Deployment Freq (/week)</t>
  </si>
  <si>
    <t>18%</t>
  </si>
  <si>
    <t>13.3%</t>
  </si>
  <si>
    <t>&lt;14</t>
  </si>
  <si>
    <t>28%</t>
  </si>
  <si>
    <t>35%</t>
  </si>
  <si>
    <t>42%</t>
  </si>
  <si>
    <t>&gt;30%</t>
  </si>
  <si>
    <t>KEY HIGHLIGHTS &amp; ACHIEVEMENTS</t>
  </si>
  <si>
    <t>🎯 Product Delivery</t>
  </si>
  <si>
    <t>• Released 12 major features including OAuth2, payment integration, and mobile app beta
• Achieved 83% sprint goal success rate (target: 80%)
• Delivered 258 story points across 6 sprints</t>
  </si>
  <si>
    <t>📈 Quality Improvement</t>
  </si>
  <si>
    <t>• Reduced defect density by 25% (1.8 → 1.35)
• Improved code coverage from 75% to 82%
• MTTR decreased by 25% (4.2h → 3.15h)</t>
  </si>
  <si>
    <t>🚀 Process Excellence</t>
  </si>
  <si>
    <t>• Increased deployment frequency by 67% (1.5 → 2.5 per week)
• Change failure rate reduced to 10% (from 18%)
• Lead time improved by 29% (14 → 10 days)</t>
  </si>
  <si>
    <t>👥 Team Growth</t>
  </si>
  <si>
    <t>• Team happiness increased from 3.7 to 4.05
• Zero team turnover this quarter
• Completed 15+ training sessions</t>
  </si>
  <si>
    <t>💼 Business Impact</t>
  </si>
  <si>
    <t>• Feature adoption rate grew to 42% (target: 30%)
• Customer satisfaction: 4.25/5.0
• Reduced customer support tickets by 20%</t>
  </si>
  <si>
    <t>STRATEGIC RECOMMENDATIONS FOR Q1 2026</t>
  </si>
  <si>
    <t>1. Technical Excellence</t>
  </si>
  <si>
    <t>• Target: Reduce technical debt to &lt;3%
• Implement automated performance testing
• Achieve 85%+ code coverage</t>
  </si>
  <si>
    <t>2. Delivery Speed</t>
  </si>
  <si>
    <t>• Increase velocity to 48 SP/sprint
• Achieve daily deployments
• Reduce lead time to &lt;7 days</t>
  </si>
  <si>
    <t>3. Team Development</t>
  </si>
  <si>
    <t>• Launch microservices training program
• Implement knowledge sharing sessions
• Maintain team happiness &gt;4.2</t>
  </si>
  <si>
    <t>4. Customer Focus</t>
  </si>
  <si>
    <t>• Target 50%+ feature adoption rate
• Launch customer feedback program
• Reduce support tickets by additional 15%</t>
  </si>
  <si>
    <t>October</t>
  </si>
  <si>
    <t>November</t>
  </si>
  <si>
    <t>December</t>
  </si>
  <si>
    <t>Số lượng lỗi phần mềm được phát hiện trên mỗi đơn vị đo lường (1000 dòng code hoặc story point). Đây là chỉ số đo lường chất lượng code và quy trình phát triển.</t>
  </si>
  <si>
    <t>Tỷ lệ phần trăm lỗi được phát hiện ở môi trường production so với tổng số lỗi được phát hiện trong toàn bộ vòng đời phát triển. Đây là chỉ số quan trọng đo lường hiệu quả của quy trình testing và Staging.</t>
  </si>
  <si>
    <t>Thời gian trung bình từ khi phát hiện lỗi đến khi lỗi được fix và verify hoàn toàn. Đây là chỉ số đo lường khả năng phản ứng và giải quyết vấn đề của team.</t>
  </si>
  <si>
    <t>Mean Time to Resolution (MTTR)- Thời gian trung bình sửa lỗi production</t>
  </si>
  <si>
    <t xml:space="preserve">
Tỷ lệ phần trăm thời gian/chi phí cần thiết để khắc phục các vấn đề kỹ thuật tích lũy (code smell, duplications, security vulnerabilities) so với tổng thời gian phát triển. Đo lường "nợ" mà team đang gánh.</t>
  </si>
  <si>
    <t>CSAT: Đo lường mức độ hài lòng của khách hàng với sản phẩm/dịch vụ cụ thể
NPS (Net Promoter Score): Đo lường khả năng khách hàng giới thiệu sản phẩm cho người khác</t>
  </si>
  <si>
    <t>Tổng giá trị kinh doanh được giao trong một khoảng thời gian, được tính bằng cách kết hợp story points với business value score của mỗi user story. Đo lường team có focus vào đúng priority không.</t>
  </si>
  <si>
    <t>Số story points mà team hoàn thành (đạt Definition of Done) trong một sprint. Đây là chỉ số đo lường capacity và productivity của team. Velocity chỉ dùng để planning, không dùng để so sánh giữa các teams.</t>
  </si>
  <si>
    <t>Tỷ lệ phần trăm các sprints mà team đạt được Sprint Goal đã cam kết. Sprint Goal là objective business-focused, không chỉ là list of stories. Đo lường khả năng deliver value và predictability của team.</t>
  </si>
  <si>
    <t>Số ngày mà một work item đã tồn tại trong trạng thái "in progress" hoặc "open" tính đến thời điểm hiện tại. Đo lường items có bị "stuck" hay không, và flow health.</t>
  </si>
  <si>
    <r>
      <rPr>
        <b/>
        <sz val="10"/>
        <rFont val="Cambria"/>
        <family val="1"/>
      </rPr>
      <t>Tần suất deploy production</t>
    </r>
    <r>
      <rPr>
        <sz val="10"/>
        <rFont val="Cambria"/>
        <family val="1"/>
      </rPr>
      <t xml:space="preserve">
Số lần team deploy code lên production trong một khoảng thời gian. Đây là một trong 4 key metrics của DORA (DevOps Research and Assessment). High deployment frequency là dấu hiệu của mature DevOps practice.</t>
    </r>
  </si>
  <si>
    <t>Lead Time for Changes (LT)</t>
  </si>
  <si>
    <t>Thời gian từ khi developer commit code vào version control (Git) cho đến khi commit đó được deploy thành công lên production environment và available cho end users.</t>
  </si>
  <si>
    <t>Feedback index</t>
  </si>
  <si>
    <t>Mức độ đóng góp phát triển sản phẩm</t>
  </si>
  <si>
    <t>Tỷ lệ commit được hoàn thành  release</t>
  </si>
  <si>
    <t>Tỷ lệ các lần thay đổi hoặc triển khai hệ thống gây ra sự cố trong môi trường production, làm ảnh hưởng đến dịch vụ và phải thực hiện khắc phục khẩn cấp (như rollback, hotfix hoặc vá lỗi).</t>
  </si>
  <si>
    <t>Tỷ lệ phần trăm người dùng đã sử dụng một tính năng cụ thể ít nhất một lần trong khoảng thời gian nhất định so với tổng số người dùng active.</t>
  </si>
  <si>
    <t>Số lần trung bình một tính năng được sử dụng bởi mỗi user trong một khoảng thời gian.</t>
  </si>
  <si>
    <t>Feature Usage Frequency (Tần suất sử dụng)</t>
  </si>
  <si>
    <t>New User Sign-ups (Đăng ký mới)</t>
  </si>
  <si>
    <t>Số lượng users mới đăng ký/tạo tài khoản/ tải app</t>
  </si>
  <si>
    <t>Daily Active Users / Monthly Active Users (DAU/MAU)</t>
  </si>
  <si>
    <t>Số users hoạt động mỗi ngày/tháng</t>
  </si>
  <si>
    <t>Chỉ số về sản phẩm Product Metrics</t>
  </si>
  <si>
    <t>Trùng trên SP</t>
  </si>
  <si>
    <t xml:space="preserve">• Queries trên TFS, tính % manual
• Đưa vào report tháng/ quý / năm
</t>
  </si>
  <si>
    <t>Cần hỗ trợ kĩ thuật</t>
  </si>
  <si>
    <t>•Xây dựng lại quy tắc tạo Epic/ feature/ User Story
• Đưa vài report quý/ năm
• P1: Xử lí data ở excel
• P2: Auto Dashboard</t>
  </si>
  <si>
    <t>Đếm số lượng plan release/ số lượng plan commit đúng hạn
Đưa vào report Quý/ năm</t>
  </si>
  <si>
    <t>Đã có sẵn trên TFS</t>
  </si>
  <si>
    <t xml:space="preserve">Lên kế hoạch dựng bộ tiêu chí </t>
  </si>
  <si>
    <t>Cần hỗ trợ - Chưa biết liên hệ bộ phận nào.</t>
  </si>
  <si>
    <t>Đưa vào Report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</si>
</sst>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name val="Cambria"/>
      <family val="1"/>
    </font>
    <font>
      <b/>
      <sz val="11"/>
      <color rgb="FFFFFFFF"/>
      <name val="Cambria"/>
      <family val="1"/>
    </font>
    <font>
      <b/>
      <sz val="10"/>
      <name val="Cambria"/>
      <family val="1"/>
    </font>
    <font>
      <b/>
      <sz val="11"/>
      <name val="Cambria"/>
      <family val="1"/>
    </font>
    <font>
      <b/>
      <sz val="14"/>
      <color rgb="FFFFFFFF"/>
      <name val="Cambria"/>
      <family val="1"/>
    </font>
    <font>
      <sz val="10"/>
      <name val="Cambria"/>
      <family val="1"/>
    </font>
    <font>
      <sz val="10"/>
      <name val="Cambria"/>
      <family val="1"/>
    </font>
    <font>
      <sz val="11"/>
      <color theme="1"/>
      <name val="Cambria"/>
      <family val="1"/>
      <scheme val="major"/>
    </font>
    <font>
      <b/>
      <sz val="11"/>
      <color theme="1"/>
      <name val="Cambria"/>
      <family val="1"/>
      <scheme val="major"/>
    </font>
    <font>
      <b/>
      <sz val="14"/>
      <color theme="0"/>
      <name val="Cambria"/>
      <family val="1"/>
      <scheme val="major"/>
    </font>
    <font>
      <b/>
      <sz val="11"/>
      <color rgb="FFFFFFFF"/>
      <name val="Cambria"/>
      <family val="1"/>
      <scheme val="major"/>
    </font>
    <font>
      <b/>
      <sz val="10"/>
      <name val="Cambria"/>
      <family val="1"/>
      <scheme val="major"/>
    </font>
    <font>
      <sz val="10"/>
      <name val="Cambria"/>
      <family val="1"/>
      <scheme val="major"/>
    </font>
  </fonts>
  <fills count="9">
    <fill>
      <patternFill patternType="none"/>
    </fill>
    <fill>
      <patternFill patternType="gray125"/>
    </fill>
    <fill>
      <patternFill patternType="solid">
        <fgColor rgb="FF366092"/>
        <bgColor rgb="FF416A9C"/>
      </patternFill>
    </fill>
    <fill>
      <patternFill patternType="solid">
        <fgColor rgb="FF203864"/>
        <bgColor rgb="FF1F4E78"/>
      </patternFill>
    </fill>
    <fill>
      <patternFill patternType="solid">
        <fgColor rgb="FFDCE6F1"/>
        <bgColor rgb="FFE9EDF4"/>
      </patternFill>
    </fill>
    <fill>
      <patternFill patternType="solid">
        <fgColor rgb="FFC6EFCE"/>
        <bgColor rgb="FFDCE6F1"/>
      </patternFill>
    </fill>
    <fill>
      <patternFill patternType="solid">
        <fgColor rgb="FFFFEB9C"/>
        <bgColor rgb="FFFFF2CC"/>
      </patternFill>
    </fill>
    <fill>
      <patternFill patternType="solid">
        <fgColor theme="3"/>
        <bgColor indexed="64"/>
      </patternFill>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top/>
      <bottom style="thin">
        <color auto="1"/>
      </bottom>
      <diagonal/>
    </border>
    <border>
      <left style="thin">
        <color auto="1"/>
      </left>
      <right/>
      <top style="thin">
        <color auto="1"/>
      </top>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6"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0" fillId="5" borderId="0" xfId="0" applyFill="1"/>
    <xf numFmtId="0" fontId="0" fillId="6" borderId="0" xfId="0" applyFill="1"/>
    <xf numFmtId="0" fontId="2" fillId="2" borderId="0" xfId="0" applyFont="1" applyFill="1"/>
    <xf numFmtId="0" fontId="4" fillId="0" borderId="0" xfId="0" applyFont="1"/>
    <xf numFmtId="0" fontId="3" fillId="4" borderId="2" xfId="0" applyFont="1" applyFill="1" applyBorder="1" applyAlignment="1">
      <alignment vertical="center"/>
    </xf>
    <xf numFmtId="0" fontId="7" fillId="0" borderId="1" xfId="0" applyFont="1" applyBorder="1" applyAlignment="1">
      <alignment horizontal="left" vertical="center" wrapText="1"/>
    </xf>
    <xf numFmtId="0" fontId="6" fillId="0" borderId="1" xfId="0" applyFont="1" applyBorder="1" applyAlignment="1">
      <alignment horizontal="left" vertical="top" wrapText="1"/>
    </xf>
    <xf numFmtId="0" fontId="8" fillId="0" borderId="0" xfId="0" applyFont="1" applyAlignment="1">
      <alignment vertical="top"/>
    </xf>
    <xf numFmtId="0" fontId="11" fillId="2" borderId="1" xfId="0" applyFont="1" applyFill="1" applyBorder="1" applyAlignment="1">
      <alignment horizontal="center" vertical="top" wrapText="1"/>
    </xf>
    <xf numFmtId="0" fontId="13"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2" xfId="0" applyFont="1" applyBorder="1" applyAlignment="1">
      <alignment horizontal="left" vertical="center" wrapText="1"/>
    </xf>
    <xf numFmtId="0" fontId="12" fillId="4" borderId="7" xfId="0" applyFont="1" applyFill="1" applyBorder="1" applyAlignment="1">
      <alignment vertical="top"/>
    </xf>
    <xf numFmtId="0" fontId="13" fillId="0" borderId="3" xfId="0" applyFont="1" applyBorder="1" applyAlignment="1">
      <alignment horizontal="left" vertical="top" wrapText="1"/>
    </xf>
    <xf numFmtId="0" fontId="8" fillId="0" borderId="1" xfId="0" applyFont="1" applyBorder="1" applyAlignment="1">
      <alignment vertical="top" wrapText="1"/>
    </xf>
    <xf numFmtId="0" fontId="8" fillId="0" borderId="1" xfId="0" applyFont="1" applyBorder="1" applyAlignment="1">
      <alignment vertical="top"/>
    </xf>
    <xf numFmtId="0" fontId="5" fillId="3" borderId="0" xfId="0" applyFont="1" applyFill="1" applyAlignment="1">
      <alignment horizontal="center" vertical="center"/>
    </xf>
    <xf numFmtId="0" fontId="3" fillId="4" borderId="6" xfId="0" applyFont="1" applyFill="1" applyBorder="1" applyAlignment="1">
      <alignment horizontal="left" vertical="center"/>
    </xf>
    <xf numFmtId="0" fontId="3" fillId="4" borderId="4" xfId="0" applyFont="1" applyFill="1" applyBorder="1" applyAlignment="1">
      <alignment horizontal="left" vertical="center"/>
    </xf>
    <xf numFmtId="0" fontId="10" fillId="7" borderId="4" xfId="0" applyFont="1" applyFill="1" applyBorder="1" applyAlignment="1">
      <alignment horizontal="center"/>
    </xf>
    <xf numFmtId="0" fontId="9" fillId="8" borderId="5" xfId="0" applyFont="1" applyFill="1" applyBorder="1" applyAlignment="1">
      <alignment horizontal="left" vertical="top"/>
    </xf>
    <xf numFmtId="0" fontId="10" fillId="7" borderId="5" xfId="0" applyFont="1" applyFill="1" applyBorder="1" applyAlignment="1">
      <alignment horizontal="left"/>
    </xf>
    <xf numFmtId="0" fontId="1" fillId="4"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4F81BD"/>
      <rgbColor rgb="FF9999FF"/>
      <rgbColor rgb="FFC0504D"/>
      <rgbColor rgb="FFFFF2CC"/>
      <rgbColor rgb="FFE9EDF4"/>
      <rgbColor rgb="FF660066"/>
      <rgbColor rgb="FFFF8080"/>
      <rgbColor rgb="FF366092"/>
      <rgbColor rgb="FFD9D9D9"/>
      <rgbColor rgb="FF000080"/>
      <rgbColor rgb="FFFF00FF"/>
      <rgbColor rgb="FFFFFF00"/>
      <rgbColor rgb="FF00FFFF"/>
      <rgbColor rgb="FF800080"/>
      <rgbColor rgb="FF800000"/>
      <rgbColor rgb="FF008080"/>
      <rgbColor rgb="FF0000FF"/>
      <rgbColor rgb="FF00CCFF"/>
      <rgbColor rgb="FFDCE6F1"/>
      <rgbColor rgb="FFC6EFCE"/>
      <rgbColor rgb="FFFFEB9C"/>
      <rgbColor rgb="FFAABAD7"/>
      <rgbColor rgb="FFFF99CC"/>
      <rgbColor rgb="FFCC99FF"/>
      <rgbColor rgb="FFFFCC99"/>
      <rgbColor rgb="FF3366FF"/>
      <rgbColor rgb="FF33CCCC"/>
      <rgbColor rgb="FF99CC00"/>
      <rgbColor rgb="FFFFCC00"/>
      <rgbColor rgb="FFFF9900"/>
      <rgbColor rgb="FFFF6600"/>
      <rgbColor rgb="FF416A9C"/>
      <rgbColor rgb="FF969696"/>
      <rgbColor rgb="FF2038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Quarterly Velocity Trend</a:t>
            </a:r>
          </a:p>
        </c:rich>
      </c:tx>
      <c:overlay val="0"/>
      <c:spPr>
        <a:noFill/>
        <a:ln w="0">
          <a:noFill/>
        </a:ln>
      </c:spPr>
    </c:title>
    <c:autoTitleDeleted val="0"/>
    <c:plotArea>
      <c:layout/>
      <c:lineChart>
        <c:grouping val="standard"/>
        <c:varyColors val="0"/>
        <c:ser>
          <c:idx val="0"/>
          <c:order val="0"/>
          <c:tx>
            <c:strRef>
              <c:f>'2. Sample Quarterly Report'!$B$50</c:f>
              <c:strCache>
                <c:ptCount val="1"/>
                <c:pt idx="0">
                  <c:v>Velocity</c:v>
                </c:pt>
              </c:strCache>
            </c:strRef>
          </c:tx>
          <c:spPr>
            <a:ln w="0">
              <a:solidFill>
                <a:srgbClr val="FFFFFF"/>
              </a:solidFill>
            </a:ln>
          </c:spPr>
          <c:marker>
            <c:symbol val="circle"/>
            <c:size val="5"/>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Sample Quarterly Report'!$A$51:$A$53</c:f>
              <c:strCache>
                <c:ptCount val="3"/>
                <c:pt idx="0">
                  <c:v>October</c:v>
                </c:pt>
                <c:pt idx="1">
                  <c:v>November</c:v>
                </c:pt>
                <c:pt idx="2">
                  <c:v>December</c:v>
                </c:pt>
              </c:strCache>
            </c:strRef>
          </c:cat>
          <c:val>
            <c:numRef>
              <c:f>'2. Sample Quarterly Report'!$B$51:$B$53</c:f>
              <c:numCache>
                <c:formatCode>General</c:formatCode>
                <c:ptCount val="3"/>
                <c:pt idx="0">
                  <c:v>40</c:v>
                </c:pt>
                <c:pt idx="1">
                  <c:v>42.5</c:v>
                </c:pt>
                <c:pt idx="2">
                  <c:v>42.5</c:v>
                </c:pt>
              </c:numCache>
            </c:numRef>
          </c:val>
          <c:smooth val="1"/>
          <c:extLst>
            <c:ext xmlns:c16="http://schemas.microsoft.com/office/drawing/2014/chart" uri="{C3380CC4-5D6E-409C-BE32-E72D297353CC}">
              <c16:uniqueId val="{00000000-7190-40A0-99B4-B6DBE55885E6}"/>
            </c:ext>
          </c:extLst>
        </c:ser>
        <c:ser>
          <c:idx val="1"/>
          <c:order val="1"/>
          <c:tx>
            <c:strRef>
              <c:f>'2. Sample Quarterly Report'!$C$50</c:f>
              <c:strCache>
                <c:ptCount val="1"/>
                <c:pt idx="0">
                  <c:v>Target</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Sample Quarterly Report'!$A$51:$A$53</c:f>
              <c:strCache>
                <c:ptCount val="3"/>
                <c:pt idx="0">
                  <c:v>October</c:v>
                </c:pt>
                <c:pt idx="1">
                  <c:v>November</c:v>
                </c:pt>
                <c:pt idx="2">
                  <c:v>December</c:v>
                </c:pt>
              </c:strCache>
            </c:strRef>
          </c:cat>
          <c:val>
            <c:numRef>
              <c:f>'2. Sample Quarterly Report'!$C$51:$C$53</c:f>
              <c:numCache>
                <c:formatCode>General</c:formatCode>
                <c:ptCount val="3"/>
                <c:pt idx="0">
                  <c:v>45</c:v>
                </c:pt>
                <c:pt idx="1">
                  <c:v>45</c:v>
                </c:pt>
                <c:pt idx="2">
                  <c:v>45</c:v>
                </c:pt>
              </c:numCache>
            </c:numRef>
          </c:val>
          <c:smooth val="1"/>
          <c:extLst>
            <c:ext xmlns:c16="http://schemas.microsoft.com/office/drawing/2014/chart" uri="{C3380CC4-5D6E-409C-BE32-E72D297353CC}">
              <c16:uniqueId val="{00000001-7190-40A0-99B4-B6DBE55885E6}"/>
            </c:ext>
          </c:extLst>
        </c:ser>
        <c:dLbls>
          <c:showLegendKey val="0"/>
          <c:showVal val="0"/>
          <c:showCatName val="0"/>
          <c:showSerName val="0"/>
          <c:showPercent val="0"/>
          <c:showBubbleSize val="0"/>
        </c:dLbls>
        <c:hiLowLines>
          <c:spPr>
            <a:ln w="0">
              <a:noFill/>
            </a:ln>
          </c:spPr>
        </c:hiLowLines>
        <c:marker val="1"/>
        <c:smooth val="0"/>
        <c:axId val="63351292"/>
        <c:axId val="57906713"/>
      </c:lineChart>
      <c:catAx>
        <c:axId val="6335129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906713"/>
        <c:crosses val="autoZero"/>
        <c:auto val="1"/>
        <c:lblAlgn val="ctr"/>
        <c:lblOffset val="100"/>
        <c:noMultiLvlLbl val="0"/>
      </c:catAx>
      <c:valAx>
        <c:axId val="5790671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Story Points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35129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Team Happiness Improvement</a:t>
            </a:r>
          </a:p>
        </c:rich>
      </c:tx>
      <c:layout>
        <c:manualLayout>
          <c:xMode val="edge"/>
          <c:yMode val="edge"/>
          <c:x val="0.39841653443996905"/>
          <c:y val="0.17725547119249666"/>
        </c:manualLayout>
      </c:layout>
      <c:overlay val="0"/>
      <c:spPr>
        <a:noFill/>
        <a:ln w="0">
          <a:noFill/>
        </a:ln>
      </c:spPr>
    </c:title>
    <c:autoTitleDeleted val="0"/>
    <c:plotArea>
      <c:layout/>
      <c:lineChart>
        <c:grouping val="standard"/>
        <c:varyColors val="0"/>
        <c:ser>
          <c:idx val="0"/>
          <c:order val="0"/>
          <c:tx>
            <c:strRef>
              <c:f>'2. Sample Quarterly Report'!$B$60</c:f>
              <c:strCache>
                <c:ptCount val="1"/>
                <c:pt idx="0">
                  <c:v>Happiness</c:v>
                </c:pt>
              </c:strCache>
            </c:strRef>
          </c:tx>
          <c:spPr>
            <a:ln w="0">
              <a:solidFill>
                <a:srgbClr val="FFFFFF"/>
              </a:solidFill>
            </a:ln>
          </c:spPr>
          <c:marker>
            <c:symbol val="circle"/>
            <c:size val="8"/>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Sample Quarterly Report'!$A$61:$A$63</c:f>
              <c:strCache>
                <c:ptCount val="3"/>
                <c:pt idx="0">
                  <c:v>October</c:v>
                </c:pt>
                <c:pt idx="1">
                  <c:v>November</c:v>
                </c:pt>
                <c:pt idx="2">
                  <c:v>December</c:v>
                </c:pt>
              </c:strCache>
            </c:strRef>
          </c:cat>
          <c:val>
            <c:numRef>
              <c:f>'2. Sample Quarterly Report'!$B$61:$B$63</c:f>
              <c:numCache>
                <c:formatCode>General</c:formatCode>
                <c:ptCount val="3"/>
                <c:pt idx="0">
                  <c:v>3.7</c:v>
                </c:pt>
                <c:pt idx="1">
                  <c:v>3.9</c:v>
                </c:pt>
                <c:pt idx="2">
                  <c:v>4.05</c:v>
                </c:pt>
              </c:numCache>
            </c:numRef>
          </c:val>
          <c:smooth val="1"/>
          <c:extLst>
            <c:ext xmlns:c16="http://schemas.microsoft.com/office/drawing/2014/chart" uri="{C3380CC4-5D6E-409C-BE32-E72D297353CC}">
              <c16:uniqueId val="{00000000-2C64-4F9B-AACA-F7B618CB3170}"/>
            </c:ext>
          </c:extLst>
        </c:ser>
        <c:dLbls>
          <c:showLegendKey val="0"/>
          <c:showVal val="0"/>
          <c:showCatName val="0"/>
          <c:showSerName val="0"/>
          <c:showPercent val="0"/>
          <c:showBubbleSize val="0"/>
        </c:dLbls>
        <c:hiLowLines>
          <c:spPr>
            <a:ln w="0">
              <a:noFill/>
            </a:ln>
          </c:spPr>
        </c:hiLowLines>
        <c:marker val="1"/>
        <c:smooth val="0"/>
        <c:axId val="42454577"/>
        <c:axId val="92606902"/>
      </c:lineChart>
      <c:catAx>
        <c:axId val="4245457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2606902"/>
        <c:crosses val="autoZero"/>
        <c:auto val="1"/>
        <c:lblAlgn val="ctr"/>
        <c:lblOffset val="100"/>
        <c:noMultiLvlLbl val="0"/>
      </c:catAx>
      <c:valAx>
        <c:axId val="9260690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Score (1-5)</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4545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285750</xdr:colOff>
          <xdr:row>5</xdr:row>
          <xdr:rowOff>161925</xdr:rowOff>
        </xdr:from>
        <xdr:to>
          <xdr:col>2</xdr:col>
          <xdr:colOff>561975</xdr:colOff>
          <xdr:row>5</xdr:row>
          <xdr:rowOff>361950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xdr:row>
          <xdr:rowOff>142875</xdr:rowOff>
        </xdr:from>
        <xdr:to>
          <xdr:col>3</xdr:col>
          <xdr:colOff>238125</xdr:colOff>
          <xdr:row>3</xdr:row>
          <xdr:rowOff>361950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4</xdr:row>
          <xdr:rowOff>142875</xdr:rowOff>
        </xdr:from>
        <xdr:to>
          <xdr:col>3</xdr:col>
          <xdr:colOff>238125</xdr:colOff>
          <xdr:row>4</xdr:row>
          <xdr:rowOff>361950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6</xdr:row>
          <xdr:rowOff>142875</xdr:rowOff>
        </xdr:from>
        <xdr:to>
          <xdr:col>3</xdr:col>
          <xdr:colOff>238125</xdr:colOff>
          <xdr:row>6</xdr:row>
          <xdr:rowOff>361950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6</xdr:row>
          <xdr:rowOff>142875</xdr:rowOff>
        </xdr:from>
        <xdr:to>
          <xdr:col>3</xdr:col>
          <xdr:colOff>238125</xdr:colOff>
          <xdr:row>6</xdr:row>
          <xdr:rowOff>361950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7</xdr:row>
          <xdr:rowOff>142875</xdr:rowOff>
        </xdr:from>
        <xdr:to>
          <xdr:col>3</xdr:col>
          <xdr:colOff>238125</xdr:colOff>
          <xdr:row>7</xdr:row>
          <xdr:rowOff>361950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8</xdr:row>
          <xdr:rowOff>142875</xdr:rowOff>
        </xdr:from>
        <xdr:to>
          <xdr:col>3</xdr:col>
          <xdr:colOff>238125</xdr:colOff>
          <xdr:row>8</xdr:row>
          <xdr:rowOff>361950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9</xdr:row>
          <xdr:rowOff>142875</xdr:rowOff>
        </xdr:from>
        <xdr:to>
          <xdr:col>3</xdr:col>
          <xdr:colOff>238125</xdr:colOff>
          <xdr:row>9</xdr:row>
          <xdr:rowOff>361950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11</xdr:row>
          <xdr:rowOff>142875</xdr:rowOff>
        </xdr:from>
        <xdr:to>
          <xdr:col>3</xdr:col>
          <xdr:colOff>238125</xdr:colOff>
          <xdr:row>11</xdr:row>
          <xdr:rowOff>361950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12</xdr:row>
          <xdr:rowOff>142875</xdr:rowOff>
        </xdr:from>
        <xdr:to>
          <xdr:col>3</xdr:col>
          <xdr:colOff>238125</xdr:colOff>
          <xdr:row>13</xdr:row>
          <xdr:rowOff>19050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13</xdr:row>
          <xdr:rowOff>142875</xdr:rowOff>
        </xdr:from>
        <xdr:to>
          <xdr:col>3</xdr:col>
          <xdr:colOff>238125</xdr:colOff>
          <xdr:row>13</xdr:row>
          <xdr:rowOff>361950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14</xdr:row>
          <xdr:rowOff>142875</xdr:rowOff>
        </xdr:from>
        <xdr:to>
          <xdr:col>3</xdr:col>
          <xdr:colOff>238125</xdr:colOff>
          <xdr:row>15</xdr:row>
          <xdr:rowOff>19050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15</xdr:row>
          <xdr:rowOff>142875</xdr:rowOff>
        </xdr:from>
        <xdr:to>
          <xdr:col>3</xdr:col>
          <xdr:colOff>238125</xdr:colOff>
          <xdr:row>15</xdr:row>
          <xdr:rowOff>361950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16</xdr:row>
          <xdr:rowOff>142875</xdr:rowOff>
        </xdr:from>
        <xdr:to>
          <xdr:col>3</xdr:col>
          <xdr:colOff>238125</xdr:colOff>
          <xdr:row>16</xdr:row>
          <xdr:rowOff>361950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0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17</xdr:row>
          <xdr:rowOff>142875</xdr:rowOff>
        </xdr:from>
        <xdr:to>
          <xdr:col>3</xdr:col>
          <xdr:colOff>238125</xdr:colOff>
          <xdr:row>17</xdr:row>
          <xdr:rowOff>361950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0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20</xdr:row>
          <xdr:rowOff>142875</xdr:rowOff>
        </xdr:from>
        <xdr:to>
          <xdr:col>3</xdr:col>
          <xdr:colOff>238125</xdr:colOff>
          <xdr:row>20</xdr:row>
          <xdr:rowOff>361950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0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21</xdr:row>
          <xdr:rowOff>142875</xdr:rowOff>
        </xdr:from>
        <xdr:to>
          <xdr:col>3</xdr:col>
          <xdr:colOff>238125</xdr:colOff>
          <xdr:row>21</xdr:row>
          <xdr:rowOff>361950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0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22</xdr:row>
          <xdr:rowOff>142875</xdr:rowOff>
        </xdr:from>
        <xdr:to>
          <xdr:col>3</xdr:col>
          <xdr:colOff>238125</xdr:colOff>
          <xdr:row>22</xdr:row>
          <xdr:rowOff>361950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0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23</xdr:row>
          <xdr:rowOff>142875</xdr:rowOff>
        </xdr:from>
        <xdr:to>
          <xdr:col>3</xdr:col>
          <xdr:colOff>238125</xdr:colOff>
          <xdr:row>23</xdr:row>
          <xdr:rowOff>361950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0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26</xdr:row>
          <xdr:rowOff>0</xdr:rowOff>
        </xdr:from>
        <xdr:to>
          <xdr:col>3</xdr:col>
          <xdr:colOff>228600</xdr:colOff>
          <xdr:row>27</xdr:row>
          <xdr:rowOff>28575</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0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28</xdr:row>
          <xdr:rowOff>142875</xdr:rowOff>
        </xdr:from>
        <xdr:to>
          <xdr:col>3</xdr:col>
          <xdr:colOff>238125</xdr:colOff>
          <xdr:row>28</xdr:row>
          <xdr:rowOff>361950</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000-00001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28</xdr:row>
          <xdr:rowOff>142875</xdr:rowOff>
        </xdr:from>
        <xdr:to>
          <xdr:col>3</xdr:col>
          <xdr:colOff>238125</xdr:colOff>
          <xdr:row>28</xdr:row>
          <xdr:rowOff>361950</xdr:rowOff>
        </xdr:to>
        <xdr:sp macro="" textlink="">
          <xdr:nvSpPr>
            <xdr:cNvPr id="6176" name="Check Box 32" hidden="1">
              <a:extLst>
                <a:ext uri="{63B3BB69-23CF-44E3-9099-C40C66FF867C}">
                  <a14:compatExt spid="_x0000_s6176"/>
                </a:ext>
                <a:ext uri="{FF2B5EF4-FFF2-40B4-BE49-F238E27FC236}">
                  <a16:creationId xmlns:a16="http://schemas.microsoft.com/office/drawing/2014/main" id="{00000000-0008-0000-0000-00002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31</xdr:row>
          <xdr:rowOff>142875</xdr:rowOff>
        </xdr:from>
        <xdr:to>
          <xdr:col>3</xdr:col>
          <xdr:colOff>238125</xdr:colOff>
          <xdr:row>32</xdr:row>
          <xdr:rowOff>171450</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000-00002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31</xdr:row>
          <xdr:rowOff>142875</xdr:rowOff>
        </xdr:from>
        <xdr:to>
          <xdr:col>3</xdr:col>
          <xdr:colOff>238125</xdr:colOff>
          <xdr:row>32</xdr:row>
          <xdr:rowOff>171450</xdr:rowOff>
        </xdr:to>
        <xdr:sp macro="" textlink="">
          <xdr:nvSpPr>
            <xdr:cNvPr id="6182" name="Check Box 38" hidden="1">
              <a:extLst>
                <a:ext uri="{63B3BB69-23CF-44E3-9099-C40C66FF867C}">
                  <a14:compatExt spid="_x0000_s6182"/>
                </a:ext>
                <a:ext uri="{FF2B5EF4-FFF2-40B4-BE49-F238E27FC236}">
                  <a16:creationId xmlns:a16="http://schemas.microsoft.com/office/drawing/2014/main" id="{00000000-0008-0000-0000-00002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183" name="Check Box 39" hidden="1">
              <a:extLst>
                <a:ext uri="{63B3BB69-23CF-44E3-9099-C40C66FF867C}">
                  <a14:compatExt spid="_x0000_s6183"/>
                </a:ext>
                <a:ext uri="{FF2B5EF4-FFF2-40B4-BE49-F238E27FC236}">
                  <a16:creationId xmlns:a16="http://schemas.microsoft.com/office/drawing/2014/main" id="{00000000-0008-0000-0000-00002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184" name="Check Box 40" hidden="1">
              <a:extLst>
                <a:ext uri="{63B3BB69-23CF-44E3-9099-C40C66FF867C}">
                  <a14:compatExt spid="_x0000_s6184"/>
                </a:ext>
                <a:ext uri="{FF2B5EF4-FFF2-40B4-BE49-F238E27FC236}">
                  <a16:creationId xmlns:a16="http://schemas.microsoft.com/office/drawing/2014/main" id="{00000000-0008-0000-0000-00002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185" name="Check Box 41" hidden="1">
              <a:extLst>
                <a:ext uri="{63B3BB69-23CF-44E3-9099-C40C66FF867C}">
                  <a14:compatExt spid="_x0000_s6185"/>
                </a:ext>
                <a:ext uri="{FF2B5EF4-FFF2-40B4-BE49-F238E27FC236}">
                  <a16:creationId xmlns:a16="http://schemas.microsoft.com/office/drawing/2014/main" id="{00000000-0008-0000-0000-00002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186" name="Check Box 42" hidden="1">
              <a:extLst>
                <a:ext uri="{63B3BB69-23CF-44E3-9099-C40C66FF867C}">
                  <a14:compatExt spid="_x0000_s6186"/>
                </a:ext>
                <a:ext uri="{FF2B5EF4-FFF2-40B4-BE49-F238E27FC236}">
                  <a16:creationId xmlns:a16="http://schemas.microsoft.com/office/drawing/2014/main" id="{00000000-0008-0000-0000-00002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187" name="Check Box 43" hidden="1">
              <a:extLst>
                <a:ext uri="{63B3BB69-23CF-44E3-9099-C40C66FF867C}">
                  <a14:compatExt spid="_x0000_s6187"/>
                </a:ext>
                <a:ext uri="{FF2B5EF4-FFF2-40B4-BE49-F238E27FC236}">
                  <a16:creationId xmlns:a16="http://schemas.microsoft.com/office/drawing/2014/main" id="{00000000-0008-0000-0000-00002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188" name="Check Box 44" hidden="1">
              <a:extLst>
                <a:ext uri="{63B3BB69-23CF-44E3-9099-C40C66FF867C}">
                  <a14:compatExt spid="_x0000_s6188"/>
                </a:ext>
                <a:ext uri="{FF2B5EF4-FFF2-40B4-BE49-F238E27FC236}">
                  <a16:creationId xmlns:a16="http://schemas.microsoft.com/office/drawing/2014/main" id="{00000000-0008-0000-0000-00002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189" name="Check Box 45" hidden="1">
              <a:extLst>
                <a:ext uri="{63B3BB69-23CF-44E3-9099-C40C66FF867C}">
                  <a14:compatExt spid="_x0000_s6189"/>
                </a:ext>
                <a:ext uri="{FF2B5EF4-FFF2-40B4-BE49-F238E27FC236}">
                  <a16:creationId xmlns:a16="http://schemas.microsoft.com/office/drawing/2014/main" id="{00000000-0008-0000-0000-00002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190" name="Check Box 46" hidden="1">
              <a:extLst>
                <a:ext uri="{63B3BB69-23CF-44E3-9099-C40C66FF867C}">
                  <a14:compatExt spid="_x0000_s6190"/>
                </a:ext>
                <a:ext uri="{FF2B5EF4-FFF2-40B4-BE49-F238E27FC236}">
                  <a16:creationId xmlns:a16="http://schemas.microsoft.com/office/drawing/2014/main" id="{00000000-0008-0000-0000-00002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191" name="Check Box 47" hidden="1">
              <a:extLst>
                <a:ext uri="{63B3BB69-23CF-44E3-9099-C40C66FF867C}">
                  <a14:compatExt spid="_x0000_s6191"/>
                </a:ext>
                <a:ext uri="{FF2B5EF4-FFF2-40B4-BE49-F238E27FC236}">
                  <a16:creationId xmlns:a16="http://schemas.microsoft.com/office/drawing/2014/main" id="{00000000-0008-0000-0000-00002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192" name="Check Box 48" hidden="1">
              <a:extLst>
                <a:ext uri="{63B3BB69-23CF-44E3-9099-C40C66FF867C}">
                  <a14:compatExt spid="_x0000_s6192"/>
                </a:ext>
                <a:ext uri="{FF2B5EF4-FFF2-40B4-BE49-F238E27FC236}">
                  <a16:creationId xmlns:a16="http://schemas.microsoft.com/office/drawing/2014/main" id="{00000000-0008-0000-0000-00003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193" name="Check Box 49" hidden="1">
              <a:extLst>
                <a:ext uri="{63B3BB69-23CF-44E3-9099-C40C66FF867C}">
                  <a14:compatExt spid="_x0000_s6193"/>
                </a:ext>
                <a:ext uri="{FF2B5EF4-FFF2-40B4-BE49-F238E27FC236}">
                  <a16:creationId xmlns:a16="http://schemas.microsoft.com/office/drawing/2014/main" id="{00000000-0008-0000-0000-00003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22</xdr:row>
          <xdr:rowOff>142875</xdr:rowOff>
        </xdr:from>
        <xdr:to>
          <xdr:col>3</xdr:col>
          <xdr:colOff>238125</xdr:colOff>
          <xdr:row>22</xdr:row>
          <xdr:rowOff>361950</xdr:rowOff>
        </xdr:to>
        <xdr:sp macro="" textlink="">
          <xdr:nvSpPr>
            <xdr:cNvPr id="6194" name="Check Box 50" hidden="1">
              <a:extLst>
                <a:ext uri="{63B3BB69-23CF-44E3-9099-C40C66FF867C}">
                  <a14:compatExt spid="_x0000_s6194"/>
                </a:ext>
                <a:ext uri="{FF2B5EF4-FFF2-40B4-BE49-F238E27FC236}">
                  <a16:creationId xmlns:a16="http://schemas.microsoft.com/office/drawing/2014/main" id="{00000000-0008-0000-0000-00003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23</xdr:row>
          <xdr:rowOff>142875</xdr:rowOff>
        </xdr:from>
        <xdr:to>
          <xdr:col>3</xdr:col>
          <xdr:colOff>238125</xdr:colOff>
          <xdr:row>23</xdr:row>
          <xdr:rowOff>361950</xdr:rowOff>
        </xdr:to>
        <xdr:sp macro="" textlink="">
          <xdr:nvSpPr>
            <xdr:cNvPr id="6195" name="Check Box 51" hidden="1">
              <a:extLst>
                <a:ext uri="{63B3BB69-23CF-44E3-9099-C40C66FF867C}">
                  <a14:compatExt spid="_x0000_s6195"/>
                </a:ext>
                <a:ext uri="{FF2B5EF4-FFF2-40B4-BE49-F238E27FC236}">
                  <a16:creationId xmlns:a16="http://schemas.microsoft.com/office/drawing/2014/main" id="{00000000-0008-0000-0000-00003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24</xdr:row>
          <xdr:rowOff>142875</xdr:rowOff>
        </xdr:from>
        <xdr:to>
          <xdr:col>3</xdr:col>
          <xdr:colOff>238125</xdr:colOff>
          <xdr:row>24</xdr:row>
          <xdr:rowOff>361950</xdr:rowOff>
        </xdr:to>
        <xdr:sp macro="" textlink="">
          <xdr:nvSpPr>
            <xdr:cNvPr id="6196" name="Check Box 52" hidden="1">
              <a:extLst>
                <a:ext uri="{63B3BB69-23CF-44E3-9099-C40C66FF867C}">
                  <a14:compatExt spid="_x0000_s6196"/>
                </a:ext>
                <a:ext uri="{FF2B5EF4-FFF2-40B4-BE49-F238E27FC236}">
                  <a16:creationId xmlns:a16="http://schemas.microsoft.com/office/drawing/2014/main" id="{00000000-0008-0000-0000-00003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29</xdr:row>
          <xdr:rowOff>142875</xdr:rowOff>
        </xdr:from>
        <xdr:to>
          <xdr:col>3</xdr:col>
          <xdr:colOff>238125</xdr:colOff>
          <xdr:row>30</xdr:row>
          <xdr:rowOff>19050</xdr:rowOff>
        </xdr:to>
        <xdr:sp macro="" textlink="">
          <xdr:nvSpPr>
            <xdr:cNvPr id="6197" name="Check Box 53" hidden="1">
              <a:extLst>
                <a:ext uri="{63B3BB69-23CF-44E3-9099-C40C66FF867C}">
                  <a14:compatExt spid="_x0000_s6197"/>
                </a:ext>
                <a:ext uri="{FF2B5EF4-FFF2-40B4-BE49-F238E27FC236}">
                  <a16:creationId xmlns:a16="http://schemas.microsoft.com/office/drawing/2014/main" id="{00000000-0008-0000-0000-00003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29</xdr:row>
          <xdr:rowOff>142875</xdr:rowOff>
        </xdr:from>
        <xdr:to>
          <xdr:col>3</xdr:col>
          <xdr:colOff>238125</xdr:colOff>
          <xdr:row>30</xdr:row>
          <xdr:rowOff>19050</xdr:rowOff>
        </xdr:to>
        <xdr:sp macro="" textlink="">
          <xdr:nvSpPr>
            <xdr:cNvPr id="6198" name="Check Box 54" hidden="1">
              <a:extLst>
                <a:ext uri="{63B3BB69-23CF-44E3-9099-C40C66FF867C}">
                  <a14:compatExt spid="_x0000_s6198"/>
                </a:ext>
                <a:ext uri="{FF2B5EF4-FFF2-40B4-BE49-F238E27FC236}">
                  <a16:creationId xmlns:a16="http://schemas.microsoft.com/office/drawing/2014/main" id="{00000000-0008-0000-0000-00003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199" name="Check Box 55" hidden="1">
              <a:extLst>
                <a:ext uri="{63B3BB69-23CF-44E3-9099-C40C66FF867C}">
                  <a14:compatExt spid="_x0000_s6199"/>
                </a:ext>
                <a:ext uri="{FF2B5EF4-FFF2-40B4-BE49-F238E27FC236}">
                  <a16:creationId xmlns:a16="http://schemas.microsoft.com/office/drawing/2014/main" id="{00000000-0008-0000-0000-00003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200" name="Check Box 56" hidden="1">
              <a:extLst>
                <a:ext uri="{63B3BB69-23CF-44E3-9099-C40C66FF867C}">
                  <a14:compatExt spid="_x0000_s6200"/>
                </a:ext>
                <a:ext uri="{FF2B5EF4-FFF2-40B4-BE49-F238E27FC236}">
                  <a16:creationId xmlns:a16="http://schemas.microsoft.com/office/drawing/2014/main" id="{00000000-0008-0000-0000-00003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1" name="Check Box 57" hidden="1">
              <a:extLst>
                <a:ext uri="{63B3BB69-23CF-44E3-9099-C40C66FF867C}">
                  <a14:compatExt spid="_x0000_s6201"/>
                </a:ext>
                <a:ext uri="{FF2B5EF4-FFF2-40B4-BE49-F238E27FC236}">
                  <a16:creationId xmlns:a16="http://schemas.microsoft.com/office/drawing/2014/main" id="{00000000-0008-0000-0000-00003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000-00003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000-00003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000-00003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5" name="Check Box 61" hidden="1">
              <a:extLst>
                <a:ext uri="{63B3BB69-23CF-44E3-9099-C40C66FF867C}">
                  <a14:compatExt spid="_x0000_s6205"/>
                </a:ext>
                <a:ext uri="{FF2B5EF4-FFF2-40B4-BE49-F238E27FC236}">
                  <a16:creationId xmlns:a16="http://schemas.microsoft.com/office/drawing/2014/main" id="{00000000-0008-0000-0000-00003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6" name="Check Box 62" hidden="1">
              <a:extLst>
                <a:ext uri="{63B3BB69-23CF-44E3-9099-C40C66FF867C}">
                  <a14:compatExt spid="_x0000_s6206"/>
                </a:ext>
                <a:ext uri="{FF2B5EF4-FFF2-40B4-BE49-F238E27FC236}">
                  <a16:creationId xmlns:a16="http://schemas.microsoft.com/office/drawing/2014/main" id="{00000000-0008-0000-0000-00003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7" name="Check Box 63" hidden="1">
              <a:extLst>
                <a:ext uri="{63B3BB69-23CF-44E3-9099-C40C66FF867C}">
                  <a14:compatExt spid="_x0000_s6207"/>
                </a:ext>
                <a:ext uri="{FF2B5EF4-FFF2-40B4-BE49-F238E27FC236}">
                  <a16:creationId xmlns:a16="http://schemas.microsoft.com/office/drawing/2014/main" id="{00000000-0008-0000-0000-00003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8" name="Check Box 64" hidden="1">
              <a:extLst>
                <a:ext uri="{63B3BB69-23CF-44E3-9099-C40C66FF867C}">
                  <a14:compatExt spid="_x0000_s6208"/>
                </a:ext>
                <a:ext uri="{FF2B5EF4-FFF2-40B4-BE49-F238E27FC236}">
                  <a16:creationId xmlns:a16="http://schemas.microsoft.com/office/drawing/2014/main" id="{00000000-0008-0000-0000-00004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9" name="Check Box 65" hidden="1">
              <a:extLst>
                <a:ext uri="{63B3BB69-23CF-44E3-9099-C40C66FF867C}">
                  <a14:compatExt spid="_x0000_s6209"/>
                </a:ext>
                <a:ext uri="{FF2B5EF4-FFF2-40B4-BE49-F238E27FC236}">
                  <a16:creationId xmlns:a16="http://schemas.microsoft.com/office/drawing/2014/main" id="{00000000-0008-0000-0000-00004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10" name="Check Box 66" hidden="1">
              <a:extLst>
                <a:ext uri="{63B3BB69-23CF-44E3-9099-C40C66FF867C}">
                  <a14:compatExt spid="_x0000_s6210"/>
                </a:ext>
                <a:ext uri="{FF2B5EF4-FFF2-40B4-BE49-F238E27FC236}">
                  <a16:creationId xmlns:a16="http://schemas.microsoft.com/office/drawing/2014/main" id="{00000000-0008-0000-0000-00004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1" name="Check Box 67" hidden="1">
              <a:extLst>
                <a:ext uri="{63B3BB69-23CF-44E3-9099-C40C66FF867C}">
                  <a14:compatExt spid="_x0000_s6211"/>
                </a:ext>
                <a:ext uri="{FF2B5EF4-FFF2-40B4-BE49-F238E27FC236}">
                  <a16:creationId xmlns:a16="http://schemas.microsoft.com/office/drawing/2014/main" id="{00000000-0008-0000-0000-00004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2" name="Check Box 68" hidden="1">
              <a:extLst>
                <a:ext uri="{63B3BB69-23CF-44E3-9099-C40C66FF867C}">
                  <a14:compatExt spid="_x0000_s6212"/>
                </a:ext>
                <a:ext uri="{FF2B5EF4-FFF2-40B4-BE49-F238E27FC236}">
                  <a16:creationId xmlns:a16="http://schemas.microsoft.com/office/drawing/2014/main" id="{00000000-0008-0000-0000-00004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3" name="Check Box 69" hidden="1">
              <a:extLst>
                <a:ext uri="{63B3BB69-23CF-44E3-9099-C40C66FF867C}">
                  <a14:compatExt spid="_x0000_s6213"/>
                </a:ext>
                <a:ext uri="{FF2B5EF4-FFF2-40B4-BE49-F238E27FC236}">
                  <a16:creationId xmlns:a16="http://schemas.microsoft.com/office/drawing/2014/main" id="{00000000-0008-0000-0000-00004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4" name="Check Box 70" hidden="1">
              <a:extLst>
                <a:ext uri="{63B3BB69-23CF-44E3-9099-C40C66FF867C}">
                  <a14:compatExt spid="_x0000_s6214"/>
                </a:ext>
                <a:ext uri="{FF2B5EF4-FFF2-40B4-BE49-F238E27FC236}">
                  <a16:creationId xmlns:a16="http://schemas.microsoft.com/office/drawing/2014/main" id="{00000000-0008-0000-0000-00004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5" name="Check Box 71" hidden="1">
              <a:extLst>
                <a:ext uri="{63B3BB69-23CF-44E3-9099-C40C66FF867C}">
                  <a14:compatExt spid="_x0000_s6215"/>
                </a:ext>
                <a:ext uri="{FF2B5EF4-FFF2-40B4-BE49-F238E27FC236}">
                  <a16:creationId xmlns:a16="http://schemas.microsoft.com/office/drawing/2014/main" id="{00000000-0008-0000-0000-00004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6" name="Check Box 72" hidden="1">
              <a:extLst>
                <a:ext uri="{63B3BB69-23CF-44E3-9099-C40C66FF867C}">
                  <a14:compatExt spid="_x0000_s6216"/>
                </a:ext>
                <a:ext uri="{FF2B5EF4-FFF2-40B4-BE49-F238E27FC236}">
                  <a16:creationId xmlns:a16="http://schemas.microsoft.com/office/drawing/2014/main" id="{00000000-0008-0000-0000-00004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17" name="Check Box 73" hidden="1">
              <a:extLst>
                <a:ext uri="{63B3BB69-23CF-44E3-9099-C40C66FF867C}">
                  <a14:compatExt spid="_x0000_s6217"/>
                </a:ext>
                <a:ext uri="{FF2B5EF4-FFF2-40B4-BE49-F238E27FC236}">
                  <a16:creationId xmlns:a16="http://schemas.microsoft.com/office/drawing/2014/main" id="{00000000-0008-0000-0000-00004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18" name="Check Box 74" hidden="1">
              <a:extLst>
                <a:ext uri="{63B3BB69-23CF-44E3-9099-C40C66FF867C}">
                  <a14:compatExt spid="_x0000_s6218"/>
                </a:ext>
                <a:ext uri="{FF2B5EF4-FFF2-40B4-BE49-F238E27FC236}">
                  <a16:creationId xmlns:a16="http://schemas.microsoft.com/office/drawing/2014/main" id="{00000000-0008-0000-0000-00004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19" name="Check Box 75" hidden="1">
              <a:extLst>
                <a:ext uri="{63B3BB69-23CF-44E3-9099-C40C66FF867C}">
                  <a14:compatExt spid="_x0000_s6219"/>
                </a:ext>
                <a:ext uri="{FF2B5EF4-FFF2-40B4-BE49-F238E27FC236}">
                  <a16:creationId xmlns:a16="http://schemas.microsoft.com/office/drawing/2014/main" id="{00000000-0008-0000-0000-00004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20" name="Check Box 76" hidden="1">
              <a:extLst>
                <a:ext uri="{63B3BB69-23CF-44E3-9099-C40C66FF867C}">
                  <a14:compatExt spid="_x0000_s6220"/>
                </a:ext>
                <a:ext uri="{FF2B5EF4-FFF2-40B4-BE49-F238E27FC236}">
                  <a16:creationId xmlns:a16="http://schemas.microsoft.com/office/drawing/2014/main" id="{00000000-0008-0000-0000-00004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21" name="Check Box 77" hidden="1">
              <a:extLst>
                <a:ext uri="{63B3BB69-23CF-44E3-9099-C40C66FF867C}">
                  <a14:compatExt spid="_x0000_s6221"/>
                </a:ext>
                <a:ext uri="{FF2B5EF4-FFF2-40B4-BE49-F238E27FC236}">
                  <a16:creationId xmlns:a16="http://schemas.microsoft.com/office/drawing/2014/main" id="{00000000-0008-0000-0000-00004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22" name="Check Box 78" hidden="1">
              <a:extLst>
                <a:ext uri="{63B3BB69-23CF-44E3-9099-C40C66FF867C}">
                  <a14:compatExt spid="_x0000_s6222"/>
                </a:ext>
                <a:ext uri="{FF2B5EF4-FFF2-40B4-BE49-F238E27FC236}">
                  <a16:creationId xmlns:a16="http://schemas.microsoft.com/office/drawing/2014/main" id="{00000000-0008-0000-0000-00004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3" name="Check Box 79" hidden="1">
              <a:extLst>
                <a:ext uri="{63B3BB69-23CF-44E3-9099-C40C66FF867C}">
                  <a14:compatExt spid="_x0000_s6223"/>
                </a:ext>
                <a:ext uri="{FF2B5EF4-FFF2-40B4-BE49-F238E27FC236}">
                  <a16:creationId xmlns:a16="http://schemas.microsoft.com/office/drawing/2014/main" id="{00000000-0008-0000-0000-00004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4" name="Check Box 80" hidden="1">
              <a:extLst>
                <a:ext uri="{63B3BB69-23CF-44E3-9099-C40C66FF867C}">
                  <a14:compatExt spid="_x0000_s6224"/>
                </a:ext>
                <a:ext uri="{FF2B5EF4-FFF2-40B4-BE49-F238E27FC236}">
                  <a16:creationId xmlns:a16="http://schemas.microsoft.com/office/drawing/2014/main" id="{00000000-0008-0000-0000-00005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5" name="Check Box 81" hidden="1">
              <a:extLst>
                <a:ext uri="{63B3BB69-23CF-44E3-9099-C40C66FF867C}">
                  <a14:compatExt spid="_x0000_s6225"/>
                </a:ext>
                <a:ext uri="{FF2B5EF4-FFF2-40B4-BE49-F238E27FC236}">
                  <a16:creationId xmlns:a16="http://schemas.microsoft.com/office/drawing/2014/main" id="{00000000-0008-0000-0000-00005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6" name="Check Box 82" hidden="1">
              <a:extLst>
                <a:ext uri="{63B3BB69-23CF-44E3-9099-C40C66FF867C}">
                  <a14:compatExt spid="_x0000_s6226"/>
                </a:ext>
                <a:ext uri="{FF2B5EF4-FFF2-40B4-BE49-F238E27FC236}">
                  <a16:creationId xmlns:a16="http://schemas.microsoft.com/office/drawing/2014/main" id="{00000000-0008-0000-0000-00005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27</xdr:row>
          <xdr:rowOff>0</xdr:rowOff>
        </xdr:from>
        <xdr:to>
          <xdr:col>3</xdr:col>
          <xdr:colOff>228600</xdr:colOff>
          <xdr:row>27</xdr:row>
          <xdr:rowOff>209550</xdr:rowOff>
        </xdr:to>
        <xdr:sp macro="" textlink="">
          <xdr:nvSpPr>
            <xdr:cNvPr id="6227" name="Check Box 83" hidden="1">
              <a:extLst>
                <a:ext uri="{63B3BB69-23CF-44E3-9099-C40C66FF867C}">
                  <a14:compatExt spid="_x0000_s6227"/>
                </a:ext>
                <a:ext uri="{FF2B5EF4-FFF2-40B4-BE49-F238E27FC236}">
                  <a16:creationId xmlns:a16="http://schemas.microsoft.com/office/drawing/2014/main" id="{00000000-0008-0000-0000-00005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342900</xdr:colOff>
      <xdr:row>1</xdr:row>
      <xdr:rowOff>0</xdr:rowOff>
    </xdr:from>
    <xdr:to>
      <xdr:col>19</xdr:col>
      <xdr:colOff>503820</xdr:colOff>
      <xdr:row>18</xdr:row>
      <xdr:rowOff>8700</xdr:rowOff>
    </xdr:to>
    <xdr:graphicFrame macro="">
      <xdr:nvGraphicFramePr>
        <xdr:cNvPr id="8" name="Chart 1">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510540</xdr:colOff>
      <xdr:row>18</xdr:row>
      <xdr:rowOff>60960</xdr:rowOff>
    </xdr:from>
    <xdr:to>
      <xdr:col>20</xdr:col>
      <xdr:colOff>77100</xdr:colOff>
      <xdr:row>29</xdr:row>
      <xdr:rowOff>61860</xdr:rowOff>
    </xdr:to>
    <xdr:graphicFrame macro="">
      <xdr:nvGraphicFramePr>
        <xdr:cNvPr id="9" name="Chart 2">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trlProp" Target="../ctrlProps/ctrlProp40.xml"/><Relationship Id="rId47" Type="http://schemas.openxmlformats.org/officeDocument/2006/relationships/ctrlProp" Target="../ctrlProps/ctrlProp45.xml"/><Relationship Id="rId50" Type="http://schemas.openxmlformats.org/officeDocument/2006/relationships/ctrlProp" Target="../ctrlProps/ctrlProp48.xml"/><Relationship Id="rId55" Type="http://schemas.openxmlformats.org/officeDocument/2006/relationships/ctrlProp" Target="../ctrlProps/ctrlProp53.xml"/><Relationship Id="rId63" Type="http://schemas.openxmlformats.org/officeDocument/2006/relationships/ctrlProp" Target="../ctrlProps/ctrlProp61.xml"/><Relationship Id="rId68" Type="http://schemas.openxmlformats.org/officeDocument/2006/relationships/ctrlProp" Target="../ctrlProps/ctrlProp66.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61" Type="http://schemas.openxmlformats.org/officeDocument/2006/relationships/ctrlProp" Target="../ctrlProps/ctrlProp59.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8"/>
  <sheetViews>
    <sheetView topLeftCell="A22" workbookViewId="0">
      <selection activeCell="B25" sqref="B25"/>
    </sheetView>
  </sheetViews>
  <sheetFormatPr defaultColWidth="28.140625" defaultRowHeight="15" x14ac:dyDescent="0.25"/>
  <cols>
    <col min="1" max="1" width="34.42578125" customWidth="1"/>
    <col min="2" max="2" width="55.28515625" customWidth="1"/>
    <col min="3" max="3" width="11" customWidth="1"/>
    <col min="4" max="4" width="28.140625" style="12"/>
  </cols>
  <sheetData>
    <row r="1" spans="1:4" ht="18" x14ac:dyDescent="0.25">
      <c r="A1" s="24" t="s">
        <v>208</v>
      </c>
      <c r="B1" s="24"/>
      <c r="C1" s="24"/>
      <c r="D1" s="24"/>
    </row>
    <row r="2" spans="1:4" x14ac:dyDescent="0.25">
      <c r="A2" s="1" t="s">
        <v>8</v>
      </c>
      <c r="B2" s="1" t="s">
        <v>9</v>
      </c>
      <c r="C2" s="1"/>
      <c r="D2" s="13"/>
    </row>
    <row r="3" spans="1:4" x14ac:dyDescent="0.25">
      <c r="A3" s="2" t="s">
        <v>11</v>
      </c>
      <c r="B3" s="9"/>
      <c r="C3" s="9"/>
      <c r="D3" s="17"/>
    </row>
    <row r="4" spans="1:4" ht="38.25" x14ac:dyDescent="0.25">
      <c r="A4" s="3" t="s">
        <v>1</v>
      </c>
      <c r="B4" s="3" t="s">
        <v>184</v>
      </c>
      <c r="C4" s="16"/>
      <c r="D4" s="19"/>
    </row>
    <row r="5" spans="1:4" ht="63.75" x14ac:dyDescent="0.25">
      <c r="A5" s="3" t="s">
        <v>12</v>
      </c>
      <c r="B5" s="3" t="s">
        <v>185</v>
      </c>
      <c r="C5" s="16"/>
      <c r="D5" s="14" t="s">
        <v>210</v>
      </c>
    </row>
    <row r="6" spans="1:4" ht="38.25" x14ac:dyDescent="0.25">
      <c r="A6" s="3" t="s">
        <v>187</v>
      </c>
      <c r="B6" s="3" t="s">
        <v>186</v>
      </c>
      <c r="C6" s="16"/>
      <c r="D6" s="20" t="s">
        <v>211</v>
      </c>
    </row>
    <row r="7" spans="1:4" ht="63.75" x14ac:dyDescent="0.25">
      <c r="A7" s="3" t="s">
        <v>37</v>
      </c>
      <c r="B7" s="10" t="s">
        <v>194</v>
      </c>
      <c r="C7" s="16"/>
      <c r="D7" s="14"/>
    </row>
    <row r="8" spans="1:4" ht="38.25" x14ac:dyDescent="0.25">
      <c r="A8" s="3" t="s">
        <v>38</v>
      </c>
      <c r="B8" s="10" t="s">
        <v>200</v>
      </c>
      <c r="C8" s="16"/>
      <c r="D8" s="14"/>
    </row>
    <row r="9" spans="1:4" ht="38.25" x14ac:dyDescent="0.25">
      <c r="A9" s="3" t="s">
        <v>195</v>
      </c>
      <c r="B9" s="10" t="s">
        <v>196</v>
      </c>
      <c r="C9" s="3"/>
      <c r="D9" s="18"/>
    </row>
    <row r="10" spans="1:4" ht="63.75" x14ac:dyDescent="0.25">
      <c r="A10" s="3" t="s">
        <v>13</v>
      </c>
      <c r="B10" s="3" t="s">
        <v>188</v>
      </c>
      <c r="C10" s="11"/>
      <c r="D10" s="14"/>
    </row>
    <row r="11" spans="1:4" x14ac:dyDescent="0.25">
      <c r="A11" s="25" t="s">
        <v>15</v>
      </c>
      <c r="B11" s="25"/>
      <c r="C11" s="25"/>
      <c r="D11" s="25"/>
    </row>
    <row r="12" spans="1:4" ht="38.25" x14ac:dyDescent="0.25">
      <c r="A12" s="3" t="s">
        <v>16</v>
      </c>
      <c r="B12" s="3" t="s">
        <v>201</v>
      </c>
      <c r="C12" s="11"/>
      <c r="D12" s="14" t="s">
        <v>216</v>
      </c>
    </row>
    <row r="13" spans="1:4" ht="25.5" x14ac:dyDescent="0.25">
      <c r="A13" s="3" t="s">
        <v>203</v>
      </c>
      <c r="B13" s="3" t="s">
        <v>202</v>
      </c>
      <c r="C13" s="11"/>
      <c r="D13" s="14"/>
    </row>
    <row r="14" spans="1:4" ht="38.450000000000003" customHeight="1" x14ac:dyDescent="0.25">
      <c r="A14" s="3" t="s">
        <v>204</v>
      </c>
      <c r="B14" s="10" t="s">
        <v>205</v>
      </c>
      <c r="C14" s="11"/>
      <c r="D14" s="14"/>
    </row>
    <row r="15" spans="1:4" ht="25.5" x14ac:dyDescent="0.25">
      <c r="A15" s="3" t="s">
        <v>206</v>
      </c>
      <c r="B15" s="10" t="s">
        <v>207</v>
      </c>
      <c r="C15" s="11"/>
      <c r="D15" s="14"/>
    </row>
    <row r="16" spans="1:4" ht="51" x14ac:dyDescent="0.25">
      <c r="A16" s="3" t="s">
        <v>17</v>
      </c>
      <c r="B16" s="3" t="s">
        <v>189</v>
      </c>
      <c r="C16" s="11"/>
      <c r="D16" s="14"/>
    </row>
    <row r="17" spans="1:4" ht="51" x14ac:dyDescent="0.25">
      <c r="A17" s="3" t="s">
        <v>18</v>
      </c>
      <c r="B17" s="3" t="s">
        <v>190</v>
      </c>
      <c r="C17" s="11"/>
      <c r="D17" s="14"/>
    </row>
    <row r="18" spans="1:4" ht="54.6" customHeight="1" x14ac:dyDescent="0.25">
      <c r="A18" s="3" t="s">
        <v>19</v>
      </c>
      <c r="B18" s="3" t="s">
        <v>20</v>
      </c>
      <c r="C18" s="11"/>
      <c r="D18" s="15" t="s">
        <v>212</v>
      </c>
    </row>
    <row r="19" spans="1:4" ht="18" x14ac:dyDescent="0.25">
      <c r="A19" s="26" t="s">
        <v>21</v>
      </c>
      <c r="B19" s="26"/>
      <c r="C19" s="26"/>
      <c r="D19" s="26"/>
    </row>
    <row r="20" spans="1:4" x14ac:dyDescent="0.25">
      <c r="A20" s="22" t="s">
        <v>22</v>
      </c>
      <c r="B20" s="23"/>
      <c r="C20" s="23"/>
      <c r="D20" s="23"/>
    </row>
    <row r="21" spans="1:4" ht="51" x14ac:dyDescent="0.25">
      <c r="A21" s="3" t="s">
        <v>0</v>
      </c>
      <c r="B21" s="3" t="s">
        <v>191</v>
      </c>
      <c r="C21" s="11"/>
      <c r="D21" s="14"/>
    </row>
    <row r="22" spans="1:4" ht="51" x14ac:dyDescent="0.25">
      <c r="A22" s="3" t="s">
        <v>23</v>
      </c>
      <c r="B22" s="3" t="s">
        <v>192</v>
      </c>
      <c r="C22" s="11"/>
      <c r="D22" s="14"/>
    </row>
    <row r="23" spans="1:4" ht="30" customHeight="1" x14ac:dyDescent="0.25">
      <c r="A23" s="3" t="s">
        <v>24</v>
      </c>
      <c r="B23" s="3" t="s">
        <v>199</v>
      </c>
      <c r="C23" s="11"/>
      <c r="D23" s="14" t="s">
        <v>213</v>
      </c>
    </row>
    <row r="24" spans="1:4" ht="63.75" x14ac:dyDescent="0.25">
      <c r="A24" s="3" t="s">
        <v>25</v>
      </c>
      <c r="B24" s="3" t="s">
        <v>26</v>
      </c>
      <c r="C24" s="11"/>
      <c r="D24" s="15" t="s">
        <v>212</v>
      </c>
    </row>
    <row r="25" spans="1:4" ht="63.75" x14ac:dyDescent="0.25">
      <c r="A25" s="3" t="s">
        <v>27</v>
      </c>
      <c r="B25" s="3" t="s">
        <v>28</v>
      </c>
      <c r="C25" s="11"/>
      <c r="D25" s="15" t="s">
        <v>212</v>
      </c>
    </row>
    <row r="26" spans="1:4" x14ac:dyDescent="0.25">
      <c r="A26" s="2" t="s">
        <v>29</v>
      </c>
      <c r="B26" s="2"/>
      <c r="C26" s="2"/>
      <c r="D26" s="14"/>
    </row>
    <row r="27" spans="1:4" x14ac:dyDescent="0.25">
      <c r="A27" s="3" t="s">
        <v>30</v>
      </c>
      <c r="B27" s="3" t="s">
        <v>31</v>
      </c>
      <c r="C27" s="3"/>
      <c r="D27" s="14" t="s">
        <v>214</v>
      </c>
    </row>
    <row r="28" spans="1:4" ht="38.25" x14ac:dyDescent="0.25">
      <c r="A28" s="3" t="s">
        <v>32</v>
      </c>
      <c r="B28" s="10" t="s">
        <v>193</v>
      </c>
      <c r="C28" s="10"/>
      <c r="D28" s="14" t="s">
        <v>217</v>
      </c>
    </row>
    <row r="29" spans="1:4" ht="33" customHeight="1" x14ac:dyDescent="0.25">
      <c r="A29" s="3" t="s">
        <v>33</v>
      </c>
      <c r="B29" s="3" t="s">
        <v>34</v>
      </c>
      <c r="C29" s="3"/>
      <c r="D29" s="14" t="s">
        <v>217</v>
      </c>
    </row>
    <row r="30" spans="1:4" ht="27" customHeight="1" x14ac:dyDescent="0.25">
      <c r="A30" s="3" t="s">
        <v>35</v>
      </c>
      <c r="B30" s="3" t="s">
        <v>36</v>
      </c>
      <c r="C30" s="3"/>
      <c r="D30" s="14" t="s">
        <v>217</v>
      </c>
    </row>
    <row r="31" spans="1:4" ht="25.5" x14ac:dyDescent="0.25">
      <c r="A31" s="3" t="s">
        <v>38</v>
      </c>
      <c r="B31" s="3" t="s">
        <v>39</v>
      </c>
      <c r="C31" s="10" t="s">
        <v>209</v>
      </c>
      <c r="D31" s="14"/>
    </row>
    <row r="32" spans="1:4" x14ac:dyDescent="0.25">
      <c r="A32" s="2" t="s">
        <v>40</v>
      </c>
      <c r="B32" s="2"/>
      <c r="C32" s="2"/>
      <c r="D32" s="14"/>
    </row>
    <row r="33" spans="1:4" x14ac:dyDescent="0.25">
      <c r="A33" s="3" t="s">
        <v>41</v>
      </c>
      <c r="B33" s="3" t="s">
        <v>42</v>
      </c>
      <c r="C33" s="3"/>
      <c r="D33" s="14" t="s">
        <v>215</v>
      </c>
    </row>
    <row r="34" spans="1:4" x14ac:dyDescent="0.25">
      <c r="A34" s="3" t="s">
        <v>43</v>
      </c>
      <c r="B34" s="3" t="s">
        <v>44</v>
      </c>
      <c r="C34" s="3"/>
      <c r="D34" s="14" t="s">
        <v>215</v>
      </c>
    </row>
    <row r="35" spans="1:4" x14ac:dyDescent="0.25">
      <c r="A35" s="3" t="s">
        <v>45</v>
      </c>
      <c r="B35" s="3" t="s">
        <v>46</v>
      </c>
      <c r="C35" s="3"/>
      <c r="D35" s="14" t="s">
        <v>215</v>
      </c>
    </row>
    <row r="36" spans="1:4" x14ac:dyDescent="0.25">
      <c r="A36" s="3" t="s">
        <v>47</v>
      </c>
      <c r="B36" s="3" t="s">
        <v>48</v>
      </c>
      <c r="C36" s="3"/>
      <c r="D36" s="14" t="s">
        <v>215</v>
      </c>
    </row>
    <row r="37" spans="1:4" x14ac:dyDescent="0.25">
      <c r="A37" s="3" t="s">
        <v>49</v>
      </c>
      <c r="B37" s="3" t="s">
        <v>50</v>
      </c>
      <c r="C37" s="3"/>
      <c r="D37" s="14" t="s">
        <v>215</v>
      </c>
    </row>
    <row r="38" spans="1:4" x14ac:dyDescent="0.25">
      <c r="A38" s="3" t="s">
        <v>197</v>
      </c>
      <c r="B38" s="3" t="s">
        <v>198</v>
      </c>
      <c r="C38" s="3"/>
      <c r="D38" s="14" t="s">
        <v>215</v>
      </c>
    </row>
  </sheetData>
  <mergeCells count="4">
    <mergeCell ref="A20:D20"/>
    <mergeCell ref="A1:D1"/>
    <mergeCell ref="A11:D11"/>
    <mergeCell ref="A19:D19"/>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from>
                    <xdr:col>2</xdr:col>
                    <xdr:colOff>285750</xdr:colOff>
                    <xdr:row>5</xdr:row>
                    <xdr:rowOff>161925</xdr:rowOff>
                  </from>
                  <to>
                    <xdr:col>2</xdr:col>
                    <xdr:colOff>561975</xdr:colOff>
                    <xdr:row>5</xdr:row>
                    <xdr:rowOff>361950</xdr:rowOff>
                  </to>
                </anchor>
              </controlPr>
            </control>
          </mc:Choice>
        </mc:AlternateContent>
        <mc:AlternateContent xmlns:mc="http://schemas.openxmlformats.org/markup-compatibility/2006">
          <mc:Choice Requires="x14">
            <control shapeId="6146" r:id="rId4" name="Check Box 2">
              <controlPr defaultSize="0" autoFill="0" autoLine="0" autoPict="0">
                <anchor moveWithCells="1">
                  <from>
                    <xdr:col>2</xdr:col>
                    <xdr:colOff>285750</xdr:colOff>
                    <xdr:row>3</xdr:row>
                    <xdr:rowOff>142875</xdr:rowOff>
                  </from>
                  <to>
                    <xdr:col>3</xdr:col>
                    <xdr:colOff>238125</xdr:colOff>
                    <xdr:row>3</xdr:row>
                    <xdr:rowOff>361950</xdr:rowOff>
                  </to>
                </anchor>
              </controlPr>
            </control>
          </mc:Choice>
        </mc:AlternateContent>
        <mc:AlternateContent xmlns:mc="http://schemas.openxmlformats.org/markup-compatibility/2006">
          <mc:Choice Requires="x14">
            <control shapeId="6147" r:id="rId5" name="Check Box 3">
              <controlPr defaultSize="0" autoFill="0" autoLine="0" autoPict="0">
                <anchor moveWithCells="1">
                  <from>
                    <xdr:col>2</xdr:col>
                    <xdr:colOff>285750</xdr:colOff>
                    <xdr:row>4</xdr:row>
                    <xdr:rowOff>142875</xdr:rowOff>
                  </from>
                  <to>
                    <xdr:col>3</xdr:col>
                    <xdr:colOff>238125</xdr:colOff>
                    <xdr:row>4</xdr:row>
                    <xdr:rowOff>361950</xdr:rowOff>
                  </to>
                </anchor>
              </controlPr>
            </control>
          </mc:Choice>
        </mc:AlternateContent>
        <mc:AlternateContent xmlns:mc="http://schemas.openxmlformats.org/markup-compatibility/2006">
          <mc:Choice Requires="x14">
            <control shapeId="6148" r:id="rId6" name="Check Box 4">
              <controlPr defaultSize="0" autoFill="0" autoLine="0" autoPict="0">
                <anchor moveWithCells="1">
                  <from>
                    <xdr:col>2</xdr:col>
                    <xdr:colOff>285750</xdr:colOff>
                    <xdr:row>6</xdr:row>
                    <xdr:rowOff>142875</xdr:rowOff>
                  </from>
                  <to>
                    <xdr:col>3</xdr:col>
                    <xdr:colOff>238125</xdr:colOff>
                    <xdr:row>6</xdr:row>
                    <xdr:rowOff>361950</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from>
                    <xdr:col>2</xdr:col>
                    <xdr:colOff>285750</xdr:colOff>
                    <xdr:row>6</xdr:row>
                    <xdr:rowOff>142875</xdr:rowOff>
                  </from>
                  <to>
                    <xdr:col>3</xdr:col>
                    <xdr:colOff>238125</xdr:colOff>
                    <xdr:row>6</xdr:row>
                    <xdr:rowOff>361950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2</xdr:col>
                    <xdr:colOff>285750</xdr:colOff>
                    <xdr:row>7</xdr:row>
                    <xdr:rowOff>142875</xdr:rowOff>
                  </from>
                  <to>
                    <xdr:col>3</xdr:col>
                    <xdr:colOff>238125</xdr:colOff>
                    <xdr:row>7</xdr:row>
                    <xdr:rowOff>361950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from>
                    <xdr:col>2</xdr:col>
                    <xdr:colOff>285750</xdr:colOff>
                    <xdr:row>8</xdr:row>
                    <xdr:rowOff>142875</xdr:rowOff>
                  </from>
                  <to>
                    <xdr:col>3</xdr:col>
                    <xdr:colOff>238125</xdr:colOff>
                    <xdr:row>8</xdr:row>
                    <xdr:rowOff>361950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from>
                    <xdr:col>2</xdr:col>
                    <xdr:colOff>285750</xdr:colOff>
                    <xdr:row>9</xdr:row>
                    <xdr:rowOff>142875</xdr:rowOff>
                  </from>
                  <to>
                    <xdr:col>3</xdr:col>
                    <xdr:colOff>238125</xdr:colOff>
                    <xdr:row>9</xdr:row>
                    <xdr:rowOff>361950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from>
                    <xdr:col>2</xdr:col>
                    <xdr:colOff>285750</xdr:colOff>
                    <xdr:row>11</xdr:row>
                    <xdr:rowOff>142875</xdr:rowOff>
                  </from>
                  <to>
                    <xdr:col>3</xdr:col>
                    <xdr:colOff>238125</xdr:colOff>
                    <xdr:row>11</xdr:row>
                    <xdr:rowOff>361950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from>
                    <xdr:col>2</xdr:col>
                    <xdr:colOff>285750</xdr:colOff>
                    <xdr:row>12</xdr:row>
                    <xdr:rowOff>142875</xdr:rowOff>
                  </from>
                  <to>
                    <xdr:col>3</xdr:col>
                    <xdr:colOff>238125</xdr:colOff>
                    <xdr:row>13</xdr:row>
                    <xdr:rowOff>19050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from>
                    <xdr:col>2</xdr:col>
                    <xdr:colOff>285750</xdr:colOff>
                    <xdr:row>13</xdr:row>
                    <xdr:rowOff>142875</xdr:rowOff>
                  </from>
                  <to>
                    <xdr:col>3</xdr:col>
                    <xdr:colOff>238125</xdr:colOff>
                    <xdr:row>13</xdr:row>
                    <xdr:rowOff>361950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from>
                    <xdr:col>2</xdr:col>
                    <xdr:colOff>285750</xdr:colOff>
                    <xdr:row>14</xdr:row>
                    <xdr:rowOff>142875</xdr:rowOff>
                  </from>
                  <to>
                    <xdr:col>3</xdr:col>
                    <xdr:colOff>238125</xdr:colOff>
                    <xdr:row>15</xdr:row>
                    <xdr:rowOff>19050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from>
                    <xdr:col>2</xdr:col>
                    <xdr:colOff>285750</xdr:colOff>
                    <xdr:row>15</xdr:row>
                    <xdr:rowOff>142875</xdr:rowOff>
                  </from>
                  <to>
                    <xdr:col>3</xdr:col>
                    <xdr:colOff>238125</xdr:colOff>
                    <xdr:row>15</xdr:row>
                    <xdr:rowOff>361950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from>
                    <xdr:col>2</xdr:col>
                    <xdr:colOff>285750</xdr:colOff>
                    <xdr:row>16</xdr:row>
                    <xdr:rowOff>142875</xdr:rowOff>
                  </from>
                  <to>
                    <xdr:col>3</xdr:col>
                    <xdr:colOff>238125</xdr:colOff>
                    <xdr:row>16</xdr:row>
                    <xdr:rowOff>361950</xdr:rowOff>
                  </to>
                </anchor>
              </controlPr>
            </control>
          </mc:Choice>
        </mc:AlternateContent>
        <mc:AlternateContent xmlns:mc="http://schemas.openxmlformats.org/markup-compatibility/2006">
          <mc:Choice Requires="x14">
            <control shapeId="6160" r:id="rId17" name="Check Box 16">
              <controlPr defaultSize="0" autoFill="0" autoLine="0" autoPict="0">
                <anchor moveWithCells="1">
                  <from>
                    <xdr:col>2</xdr:col>
                    <xdr:colOff>285750</xdr:colOff>
                    <xdr:row>17</xdr:row>
                    <xdr:rowOff>142875</xdr:rowOff>
                  </from>
                  <to>
                    <xdr:col>3</xdr:col>
                    <xdr:colOff>238125</xdr:colOff>
                    <xdr:row>17</xdr:row>
                    <xdr:rowOff>361950</xdr:rowOff>
                  </to>
                </anchor>
              </controlPr>
            </control>
          </mc:Choice>
        </mc:AlternateContent>
        <mc:AlternateContent xmlns:mc="http://schemas.openxmlformats.org/markup-compatibility/2006">
          <mc:Choice Requires="x14">
            <control shapeId="6164" r:id="rId18" name="Check Box 20">
              <controlPr defaultSize="0" autoFill="0" autoLine="0" autoPict="0">
                <anchor moveWithCells="1">
                  <from>
                    <xdr:col>2</xdr:col>
                    <xdr:colOff>285750</xdr:colOff>
                    <xdr:row>20</xdr:row>
                    <xdr:rowOff>142875</xdr:rowOff>
                  </from>
                  <to>
                    <xdr:col>3</xdr:col>
                    <xdr:colOff>238125</xdr:colOff>
                    <xdr:row>20</xdr:row>
                    <xdr:rowOff>361950</xdr:rowOff>
                  </to>
                </anchor>
              </controlPr>
            </control>
          </mc:Choice>
        </mc:AlternateContent>
        <mc:AlternateContent xmlns:mc="http://schemas.openxmlformats.org/markup-compatibility/2006">
          <mc:Choice Requires="x14">
            <control shapeId="6165" r:id="rId19" name="Check Box 21">
              <controlPr defaultSize="0" autoFill="0" autoLine="0" autoPict="0">
                <anchor moveWithCells="1">
                  <from>
                    <xdr:col>2</xdr:col>
                    <xdr:colOff>285750</xdr:colOff>
                    <xdr:row>21</xdr:row>
                    <xdr:rowOff>142875</xdr:rowOff>
                  </from>
                  <to>
                    <xdr:col>3</xdr:col>
                    <xdr:colOff>238125</xdr:colOff>
                    <xdr:row>21</xdr:row>
                    <xdr:rowOff>361950</xdr:rowOff>
                  </to>
                </anchor>
              </controlPr>
            </control>
          </mc:Choice>
        </mc:AlternateContent>
        <mc:AlternateContent xmlns:mc="http://schemas.openxmlformats.org/markup-compatibility/2006">
          <mc:Choice Requires="x14">
            <control shapeId="6166" r:id="rId20" name="Check Box 22">
              <controlPr defaultSize="0" autoFill="0" autoLine="0" autoPict="0">
                <anchor moveWithCells="1">
                  <from>
                    <xdr:col>2</xdr:col>
                    <xdr:colOff>285750</xdr:colOff>
                    <xdr:row>22</xdr:row>
                    <xdr:rowOff>142875</xdr:rowOff>
                  </from>
                  <to>
                    <xdr:col>3</xdr:col>
                    <xdr:colOff>238125</xdr:colOff>
                    <xdr:row>22</xdr:row>
                    <xdr:rowOff>361950</xdr:rowOff>
                  </to>
                </anchor>
              </controlPr>
            </control>
          </mc:Choice>
        </mc:AlternateContent>
        <mc:AlternateContent xmlns:mc="http://schemas.openxmlformats.org/markup-compatibility/2006">
          <mc:Choice Requires="x14">
            <control shapeId="6167" r:id="rId21" name="Check Box 23">
              <controlPr defaultSize="0" autoFill="0" autoLine="0" autoPict="0">
                <anchor moveWithCells="1">
                  <from>
                    <xdr:col>2</xdr:col>
                    <xdr:colOff>285750</xdr:colOff>
                    <xdr:row>23</xdr:row>
                    <xdr:rowOff>142875</xdr:rowOff>
                  </from>
                  <to>
                    <xdr:col>3</xdr:col>
                    <xdr:colOff>238125</xdr:colOff>
                    <xdr:row>23</xdr:row>
                    <xdr:rowOff>361950</xdr:rowOff>
                  </to>
                </anchor>
              </controlPr>
            </control>
          </mc:Choice>
        </mc:AlternateContent>
        <mc:AlternateContent xmlns:mc="http://schemas.openxmlformats.org/markup-compatibility/2006">
          <mc:Choice Requires="x14">
            <control shapeId="6168" r:id="rId22" name="Check Box 24">
              <controlPr defaultSize="0" autoFill="0" autoLine="0" autoPict="0">
                <anchor moveWithCells="1">
                  <from>
                    <xdr:col>2</xdr:col>
                    <xdr:colOff>276225</xdr:colOff>
                    <xdr:row>26</xdr:row>
                    <xdr:rowOff>0</xdr:rowOff>
                  </from>
                  <to>
                    <xdr:col>3</xdr:col>
                    <xdr:colOff>228600</xdr:colOff>
                    <xdr:row>27</xdr:row>
                    <xdr:rowOff>28575</xdr:rowOff>
                  </to>
                </anchor>
              </controlPr>
            </control>
          </mc:Choice>
        </mc:AlternateContent>
        <mc:AlternateContent xmlns:mc="http://schemas.openxmlformats.org/markup-compatibility/2006">
          <mc:Choice Requires="x14">
            <control shapeId="6175" r:id="rId23" name="Check Box 31">
              <controlPr defaultSize="0" autoFill="0" autoLine="0" autoPict="0">
                <anchor moveWithCells="1">
                  <from>
                    <xdr:col>2</xdr:col>
                    <xdr:colOff>285750</xdr:colOff>
                    <xdr:row>28</xdr:row>
                    <xdr:rowOff>142875</xdr:rowOff>
                  </from>
                  <to>
                    <xdr:col>3</xdr:col>
                    <xdr:colOff>238125</xdr:colOff>
                    <xdr:row>28</xdr:row>
                    <xdr:rowOff>361950</xdr:rowOff>
                  </to>
                </anchor>
              </controlPr>
            </control>
          </mc:Choice>
        </mc:AlternateContent>
        <mc:AlternateContent xmlns:mc="http://schemas.openxmlformats.org/markup-compatibility/2006">
          <mc:Choice Requires="x14">
            <control shapeId="6176" r:id="rId24" name="Check Box 32">
              <controlPr defaultSize="0" autoFill="0" autoLine="0" autoPict="0">
                <anchor moveWithCells="1">
                  <from>
                    <xdr:col>2</xdr:col>
                    <xdr:colOff>285750</xdr:colOff>
                    <xdr:row>28</xdr:row>
                    <xdr:rowOff>142875</xdr:rowOff>
                  </from>
                  <to>
                    <xdr:col>3</xdr:col>
                    <xdr:colOff>238125</xdr:colOff>
                    <xdr:row>28</xdr:row>
                    <xdr:rowOff>361950</xdr:rowOff>
                  </to>
                </anchor>
              </controlPr>
            </control>
          </mc:Choice>
        </mc:AlternateContent>
        <mc:AlternateContent xmlns:mc="http://schemas.openxmlformats.org/markup-compatibility/2006">
          <mc:Choice Requires="x14">
            <control shapeId="6181" r:id="rId25" name="Check Box 37">
              <controlPr defaultSize="0" autoFill="0" autoLine="0" autoPict="0">
                <anchor moveWithCells="1">
                  <from>
                    <xdr:col>2</xdr:col>
                    <xdr:colOff>285750</xdr:colOff>
                    <xdr:row>31</xdr:row>
                    <xdr:rowOff>142875</xdr:rowOff>
                  </from>
                  <to>
                    <xdr:col>3</xdr:col>
                    <xdr:colOff>238125</xdr:colOff>
                    <xdr:row>32</xdr:row>
                    <xdr:rowOff>171450</xdr:rowOff>
                  </to>
                </anchor>
              </controlPr>
            </control>
          </mc:Choice>
        </mc:AlternateContent>
        <mc:AlternateContent xmlns:mc="http://schemas.openxmlformats.org/markup-compatibility/2006">
          <mc:Choice Requires="x14">
            <control shapeId="6182" r:id="rId26" name="Check Box 38">
              <controlPr defaultSize="0" autoFill="0" autoLine="0" autoPict="0">
                <anchor moveWithCells="1">
                  <from>
                    <xdr:col>2</xdr:col>
                    <xdr:colOff>285750</xdr:colOff>
                    <xdr:row>31</xdr:row>
                    <xdr:rowOff>142875</xdr:rowOff>
                  </from>
                  <to>
                    <xdr:col>3</xdr:col>
                    <xdr:colOff>238125</xdr:colOff>
                    <xdr:row>32</xdr:row>
                    <xdr:rowOff>171450</xdr:rowOff>
                  </to>
                </anchor>
              </controlPr>
            </control>
          </mc:Choice>
        </mc:AlternateContent>
        <mc:AlternateContent xmlns:mc="http://schemas.openxmlformats.org/markup-compatibility/2006">
          <mc:Choice Requires="x14">
            <control shapeId="6183" r:id="rId27" name="Check Box 39">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184" r:id="rId28" name="Check Box 40">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185" r:id="rId29" name="Check Box 41">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186" r:id="rId30" name="Check Box 42">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187" r:id="rId31" name="Check Box 43">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188" r:id="rId32" name="Check Box 44">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189" r:id="rId33" name="Check Box 45">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190" r:id="rId34" name="Check Box 46">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191" r:id="rId35" name="Check Box 47">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192" r:id="rId36" name="Check Box 48">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193" r:id="rId37" name="Check Box 49">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194" r:id="rId38" name="Check Box 50">
              <controlPr defaultSize="0" autoFill="0" autoLine="0" autoPict="0">
                <anchor moveWithCells="1">
                  <from>
                    <xdr:col>2</xdr:col>
                    <xdr:colOff>285750</xdr:colOff>
                    <xdr:row>22</xdr:row>
                    <xdr:rowOff>142875</xdr:rowOff>
                  </from>
                  <to>
                    <xdr:col>3</xdr:col>
                    <xdr:colOff>238125</xdr:colOff>
                    <xdr:row>22</xdr:row>
                    <xdr:rowOff>361950</xdr:rowOff>
                  </to>
                </anchor>
              </controlPr>
            </control>
          </mc:Choice>
        </mc:AlternateContent>
        <mc:AlternateContent xmlns:mc="http://schemas.openxmlformats.org/markup-compatibility/2006">
          <mc:Choice Requires="x14">
            <control shapeId="6195" r:id="rId39" name="Check Box 51">
              <controlPr defaultSize="0" autoFill="0" autoLine="0" autoPict="0">
                <anchor moveWithCells="1">
                  <from>
                    <xdr:col>2</xdr:col>
                    <xdr:colOff>285750</xdr:colOff>
                    <xdr:row>23</xdr:row>
                    <xdr:rowOff>142875</xdr:rowOff>
                  </from>
                  <to>
                    <xdr:col>3</xdr:col>
                    <xdr:colOff>238125</xdr:colOff>
                    <xdr:row>23</xdr:row>
                    <xdr:rowOff>361950</xdr:rowOff>
                  </to>
                </anchor>
              </controlPr>
            </control>
          </mc:Choice>
        </mc:AlternateContent>
        <mc:AlternateContent xmlns:mc="http://schemas.openxmlformats.org/markup-compatibility/2006">
          <mc:Choice Requires="x14">
            <control shapeId="6196" r:id="rId40" name="Check Box 52">
              <controlPr defaultSize="0" autoFill="0" autoLine="0" autoPict="0">
                <anchor moveWithCells="1">
                  <from>
                    <xdr:col>2</xdr:col>
                    <xdr:colOff>285750</xdr:colOff>
                    <xdr:row>24</xdr:row>
                    <xdr:rowOff>142875</xdr:rowOff>
                  </from>
                  <to>
                    <xdr:col>3</xdr:col>
                    <xdr:colOff>238125</xdr:colOff>
                    <xdr:row>24</xdr:row>
                    <xdr:rowOff>361950</xdr:rowOff>
                  </to>
                </anchor>
              </controlPr>
            </control>
          </mc:Choice>
        </mc:AlternateContent>
        <mc:AlternateContent xmlns:mc="http://schemas.openxmlformats.org/markup-compatibility/2006">
          <mc:Choice Requires="x14">
            <control shapeId="6197" r:id="rId41" name="Check Box 53">
              <controlPr defaultSize="0" autoFill="0" autoLine="0" autoPict="0">
                <anchor moveWithCells="1">
                  <from>
                    <xdr:col>2</xdr:col>
                    <xdr:colOff>285750</xdr:colOff>
                    <xdr:row>29</xdr:row>
                    <xdr:rowOff>142875</xdr:rowOff>
                  </from>
                  <to>
                    <xdr:col>3</xdr:col>
                    <xdr:colOff>238125</xdr:colOff>
                    <xdr:row>30</xdr:row>
                    <xdr:rowOff>19050</xdr:rowOff>
                  </to>
                </anchor>
              </controlPr>
            </control>
          </mc:Choice>
        </mc:AlternateContent>
        <mc:AlternateContent xmlns:mc="http://schemas.openxmlformats.org/markup-compatibility/2006">
          <mc:Choice Requires="x14">
            <control shapeId="6198" r:id="rId42" name="Check Box 54">
              <controlPr defaultSize="0" autoFill="0" autoLine="0" autoPict="0">
                <anchor moveWithCells="1">
                  <from>
                    <xdr:col>2</xdr:col>
                    <xdr:colOff>285750</xdr:colOff>
                    <xdr:row>29</xdr:row>
                    <xdr:rowOff>142875</xdr:rowOff>
                  </from>
                  <to>
                    <xdr:col>3</xdr:col>
                    <xdr:colOff>238125</xdr:colOff>
                    <xdr:row>30</xdr:row>
                    <xdr:rowOff>19050</xdr:rowOff>
                  </to>
                </anchor>
              </controlPr>
            </control>
          </mc:Choice>
        </mc:AlternateContent>
        <mc:AlternateContent xmlns:mc="http://schemas.openxmlformats.org/markup-compatibility/2006">
          <mc:Choice Requires="x14">
            <control shapeId="6199" r:id="rId43" name="Check Box 55">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200" r:id="rId44" name="Check Box 56">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201" r:id="rId45" name="Check Box 57">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2" r:id="rId46" name="Check Box 58">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3" r:id="rId47" name="Check Box 59">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4" r:id="rId48" name="Check Box 60">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5" r:id="rId49" name="Check Box 61">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6" r:id="rId50" name="Check Box 62">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7" r:id="rId51" name="Check Box 63">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8" r:id="rId52" name="Check Box 64">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9" r:id="rId53" name="Check Box 65">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10" r:id="rId54" name="Check Box 66">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11" r:id="rId55" name="Check Box 67">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2" r:id="rId56" name="Check Box 68">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3" r:id="rId57" name="Check Box 69">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4" r:id="rId58" name="Check Box 70">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5" r:id="rId59" name="Check Box 71">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6" r:id="rId60" name="Check Box 72">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7" r:id="rId61" name="Check Box 73">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18" r:id="rId62" name="Check Box 74">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19" r:id="rId63" name="Check Box 75">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0" r:id="rId64" name="Check Box 76">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1" r:id="rId65" name="Check Box 77">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2" r:id="rId66" name="Check Box 78">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3" r:id="rId67" name="Check Box 79">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4" r:id="rId68" name="Check Box 80">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5" r:id="rId69" name="Check Box 81">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6" r:id="rId70" name="Check Box 82">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7" r:id="rId71" name="Check Box 83">
              <controlPr defaultSize="0" autoFill="0" autoLine="0" autoPict="0">
                <anchor moveWithCells="1">
                  <from>
                    <xdr:col>2</xdr:col>
                    <xdr:colOff>276225</xdr:colOff>
                    <xdr:row>27</xdr:row>
                    <xdr:rowOff>0</xdr:rowOff>
                  </from>
                  <to>
                    <xdr:col>3</xdr:col>
                    <xdr:colOff>228600</xdr:colOff>
                    <xdr:row>27</xdr:row>
                    <xdr:rowOff>209550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7"/>
  <sheetViews>
    <sheetView zoomScale="80" zoomScaleNormal="80" workbookViewId="0">
      <selection activeCell="D6" sqref="D6"/>
    </sheetView>
  </sheetViews>
  <sheetFormatPr defaultColWidth="8.7109375" defaultRowHeight="15" x14ac:dyDescent="0.25"/>
  <cols>
    <col min="1" max="1" width="20" customWidth="1"/>
    <col min="2" max="2" width="18" customWidth="1"/>
    <col min="3" max="3" width="40" customWidth="1"/>
    <col min="4" max="4" width="35" customWidth="1"/>
    <col min="5" max="5" width="25" customWidth="1"/>
    <col min="6" max="6" width="30" customWidth="1"/>
  </cols>
  <sheetData>
    <row r="1" spans="1:6" ht="24.75" customHeight="1" x14ac:dyDescent="0.25">
      <c r="A1" s="21" t="s">
        <v>51</v>
      </c>
      <c r="B1" s="21"/>
      <c r="C1" s="21"/>
      <c r="D1" s="21"/>
      <c r="E1" s="21"/>
      <c r="F1" s="21"/>
    </row>
    <row r="3" spans="1:6" ht="15" customHeight="1" x14ac:dyDescent="0.25">
      <c r="A3" s="1" t="s">
        <v>52</v>
      </c>
      <c r="B3" s="1" t="s">
        <v>53</v>
      </c>
      <c r="C3" s="1" t="s">
        <v>54</v>
      </c>
      <c r="D3" s="1" t="s">
        <v>55</v>
      </c>
      <c r="E3" s="1" t="s">
        <v>56</v>
      </c>
      <c r="F3" s="1" t="s">
        <v>10</v>
      </c>
    </row>
    <row r="4" spans="1:6" ht="99.75" customHeight="1" x14ac:dyDescent="0.25">
      <c r="A4" s="4" t="s">
        <v>57</v>
      </c>
      <c r="B4" s="3" t="s">
        <v>58</v>
      </c>
      <c r="C4" s="3" t="s">
        <v>59</v>
      </c>
      <c r="D4" s="3" t="s">
        <v>60</v>
      </c>
      <c r="E4" s="3" t="s">
        <v>61</v>
      </c>
      <c r="F4" s="3" t="s">
        <v>62</v>
      </c>
    </row>
    <row r="5" spans="1:6" ht="99.75" customHeight="1" x14ac:dyDescent="0.25">
      <c r="A5" s="4" t="s">
        <v>63</v>
      </c>
      <c r="B5" s="3" t="s">
        <v>64</v>
      </c>
      <c r="C5" s="3" t="s">
        <v>65</v>
      </c>
      <c r="D5" s="3" t="s">
        <v>66</v>
      </c>
      <c r="E5" s="3" t="s">
        <v>67</v>
      </c>
      <c r="F5" s="3" t="s">
        <v>68</v>
      </c>
    </row>
    <row r="6" spans="1:6" ht="99.75" customHeight="1" x14ac:dyDescent="0.25">
      <c r="A6" s="4" t="s">
        <v>69</v>
      </c>
      <c r="B6" s="3" t="s">
        <v>70</v>
      </c>
      <c r="C6" s="3" t="s">
        <v>71</v>
      </c>
      <c r="D6" s="3" t="s">
        <v>72</v>
      </c>
      <c r="E6" s="3" t="s">
        <v>73</v>
      </c>
      <c r="F6" s="3" t="s">
        <v>74</v>
      </c>
    </row>
    <row r="7" spans="1:6" ht="99.75" customHeight="1" x14ac:dyDescent="0.25">
      <c r="A7" s="4" t="s">
        <v>75</v>
      </c>
      <c r="B7" s="3" t="s">
        <v>76</v>
      </c>
      <c r="C7" s="3" t="s">
        <v>77</v>
      </c>
      <c r="D7" s="3" t="s">
        <v>78</v>
      </c>
      <c r="E7" s="3" t="s">
        <v>79</v>
      </c>
      <c r="F7" s="3" t="s">
        <v>80</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63"/>
  <sheetViews>
    <sheetView tabSelected="1" topLeftCell="A33" zoomScaleNormal="100" workbookViewId="0">
      <selection activeCell="F47" sqref="F47"/>
    </sheetView>
  </sheetViews>
  <sheetFormatPr defaultColWidth="8.7109375" defaultRowHeight="15" x14ac:dyDescent="0.25"/>
  <cols>
    <col min="1" max="1" width="25" customWidth="1"/>
    <col min="2" max="7" width="12" customWidth="1"/>
    <col min="8" max="9" width="10" customWidth="1"/>
  </cols>
  <sheetData>
    <row r="1" spans="1:11" ht="17.25" customHeight="1" x14ac:dyDescent="0.25">
      <c r="A1" s="21" t="s">
        <v>105</v>
      </c>
      <c r="B1" s="21"/>
      <c r="C1" s="21"/>
      <c r="D1" s="21"/>
      <c r="E1" s="21"/>
      <c r="F1" s="21"/>
      <c r="G1" s="21"/>
      <c r="H1" s="21"/>
      <c r="I1" s="21"/>
      <c r="J1" s="21"/>
      <c r="K1" s="21"/>
    </row>
    <row r="3" spans="1:11" ht="15" customHeight="1" x14ac:dyDescent="0.25">
      <c r="A3" s="27" t="s">
        <v>106</v>
      </c>
      <c r="B3" s="27"/>
      <c r="C3" s="27"/>
      <c r="D3" s="27"/>
      <c r="E3" s="27"/>
      <c r="F3" s="27"/>
      <c r="G3" s="27"/>
      <c r="H3" s="27"/>
      <c r="I3" s="27"/>
      <c r="J3" s="27"/>
      <c r="K3" s="27"/>
    </row>
    <row r="4" spans="1:11" ht="15" customHeight="1" x14ac:dyDescent="0.25">
      <c r="A4" s="8" t="s">
        <v>107</v>
      </c>
      <c r="B4" t="s">
        <v>108</v>
      </c>
      <c r="D4" s="8" t="s">
        <v>109</v>
      </c>
      <c r="E4" t="s">
        <v>110</v>
      </c>
      <c r="G4" s="8" t="s">
        <v>111</v>
      </c>
      <c r="H4" t="s">
        <v>112</v>
      </c>
    </row>
    <row r="5" spans="1:11" ht="15" customHeight="1" x14ac:dyDescent="0.25">
      <c r="A5" s="8" t="s">
        <v>113</v>
      </c>
      <c r="B5" t="s">
        <v>114</v>
      </c>
      <c r="D5" s="8" t="s">
        <v>115</v>
      </c>
      <c r="E5" t="s">
        <v>116</v>
      </c>
      <c r="G5" s="8" t="s">
        <v>117</v>
      </c>
      <c r="H5" t="s">
        <v>118</v>
      </c>
    </row>
    <row r="6" spans="1:11" ht="15" customHeight="1" x14ac:dyDescent="0.25">
      <c r="A6" s="8" t="s">
        <v>119</v>
      </c>
      <c r="B6" t="s">
        <v>120</v>
      </c>
      <c r="D6" s="8" t="s">
        <v>121</v>
      </c>
      <c r="E6" t="s">
        <v>122</v>
      </c>
      <c r="G6" s="8" t="s">
        <v>123</v>
      </c>
      <c r="H6" t="s">
        <v>124</v>
      </c>
    </row>
    <row r="9" spans="1:11" ht="15" customHeight="1" x14ac:dyDescent="0.25">
      <c r="A9" s="27" t="s">
        <v>125</v>
      </c>
      <c r="B9" s="27"/>
      <c r="C9" s="27"/>
      <c r="D9" s="27"/>
      <c r="E9" s="27"/>
      <c r="F9" s="27"/>
      <c r="G9" s="27"/>
      <c r="H9" s="27"/>
      <c r="I9" s="27"/>
      <c r="J9" s="27"/>
      <c r="K9" s="27"/>
    </row>
    <row r="10" spans="1:11" ht="15" customHeight="1" x14ac:dyDescent="0.25">
      <c r="A10" s="7" t="s">
        <v>5</v>
      </c>
      <c r="B10" s="7" t="s">
        <v>126</v>
      </c>
      <c r="C10" s="7" t="s">
        <v>127</v>
      </c>
      <c r="D10" s="7" t="s">
        <v>128</v>
      </c>
      <c r="E10" s="7" t="s">
        <v>129</v>
      </c>
      <c r="F10" s="7" t="s">
        <v>3</v>
      </c>
      <c r="G10" s="7" t="s">
        <v>130</v>
      </c>
      <c r="H10" s="7" t="s">
        <v>81</v>
      </c>
      <c r="I10" s="7" t="s">
        <v>131</v>
      </c>
    </row>
    <row r="11" spans="1:11" ht="15" customHeight="1" x14ac:dyDescent="0.25">
      <c r="A11" t="s">
        <v>82</v>
      </c>
      <c r="B11">
        <v>40</v>
      </c>
      <c r="C11">
        <v>42.5</v>
      </c>
      <c r="D11">
        <v>42.5</v>
      </c>
      <c r="E11">
        <f>AVERAGE(B11:D11)</f>
        <v>41.666666666666664</v>
      </c>
      <c r="F11">
        <v>45</v>
      </c>
      <c r="G11" t="s">
        <v>132</v>
      </c>
      <c r="H11" t="s">
        <v>88</v>
      </c>
      <c r="I11" s="6" t="s">
        <v>133</v>
      </c>
    </row>
    <row r="12" spans="1:11" ht="15" customHeight="1" x14ac:dyDescent="0.25">
      <c r="A12" t="s">
        <v>84</v>
      </c>
      <c r="B12" t="s">
        <v>89</v>
      </c>
      <c r="C12" t="s">
        <v>134</v>
      </c>
      <c r="D12" t="s">
        <v>89</v>
      </c>
      <c r="E12" t="s">
        <v>135</v>
      </c>
      <c r="F12" t="s">
        <v>136</v>
      </c>
      <c r="G12" t="s">
        <v>137</v>
      </c>
      <c r="H12" t="s">
        <v>88</v>
      </c>
      <c r="I12" s="5" t="s">
        <v>138</v>
      </c>
    </row>
    <row r="13" spans="1:11" ht="15" customHeight="1" x14ac:dyDescent="0.25">
      <c r="A13" t="s">
        <v>24</v>
      </c>
      <c r="B13" t="s">
        <v>139</v>
      </c>
      <c r="C13" t="s">
        <v>140</v>
      </c>
      <c r="D13" t="s">
        <v>91</v>
      </c>
      <c r="E13" t="s">
        <v>141</v>
      </c>
      <c r="F13" t="s">
        <v>139</v>
      </c>
      <c r="G13" t="s">
        <v>142</v>
      </c>
      <c r="H13" t="s">
        <v>88</v>
      </c>
      <c r="I13" s="5" t="s">
        <v>138</v>
      </c>
    </row>
    <row r="14" spans="1:11" ht="15" customHeight="1" x14ac:dyDescent="0.25">
      <c r="A14" t="s">
        <v>1</v>
      </c>
      <c r="B14">
        <v>1.8</v>
      </c>
      <c r="C14">
        <v>1.5</v>
      </c>
      <c r="D14">
        <v>1.35</v>
      </c>
      <c r="E14">
        <f>AVERAGE(B14:D14)</f>
        <v>1.55</v>
      </c>
      <c r="F14" t="s">
        <v>92</v>
      </c>
      <c r="G14" t="s">
        <v>87</v>
      </c>
      <c r="H14" t="s">
        <v>93</v>
      </c>
      <c r="I14" s="5" t="s">
        <v>138</v>
      </c>
    </row>
    <row r="15" spans="1:11" ht="15" customHeight="1" x14ac:dyDescent="0.25">
      <c r="A15" t="s">
        <v>12</v>
      </c>
      <c r="B15" t="s">
        <v>101</v>
      </c>
      <c r="C15" t="s">
        <v>95</v>
      </c>
      <c r="D15" t="s">
        <v>95</v>
      </c>
      <c r="E15" t="s">
        <v>94</v>
      </c>
      <c r="F15" t="s">
        <v>96</v>
      </c>
      <c r="G15" t="s">
        <v>143</v>
      </c>
      <c r="H15" t="s">
        <v>93</v>
      </c>
      <c r="I15" s="6" t="s">
        <v>133</v>
      </c>
    </row>
    <row r="16" spans="1:11" ht="15" customHeight="1" x14ac:dyDescent="0.25">
      <c r="A16" t="s">
        <v>97</v>
      </c>
      <c r="B16">
        <v>4.2</v>
      </c>
      <c r="C16">
        <v>3.5</v>
      </c>
      <c r="D16">
        <v>3.15</v>
      </c>
      <c r="E16">
        <f>AVERAGE(B16:D16)</f>
        <v>3.6166666666666667</v>
      </c>
      <c r="F16" t="s">
        <v>98</v>
      </c>
      <c r="G16" t="s">
        <v>87</v>
      </c>
      <c r="H16" t="s">
        <v>93</v>
      </c>
      <c r="I16" s="5" t="s">
        <v>138</v>
      </c>
    </row>
    <row r="17" spans="1:11" ht="15" customHeight="1" x14ac:dyDescent="0.25">
      <c r="A17" t="s">
        <v>83</v>
      </c>
      <c r="B17" t="s">
        <v>144</v>
      </c>
      <c r="C17" t="s">
        <v>145</v>
      </c>
      <c r="D17" t="s">
        <v>146</v>
      </c>
      <c r="E17" t="s">
        <v>147</v>
      </c>
      <c r="F17" t="s">
        <v>96</v>
      </c>
      <c r="G17" t="s">
        <v>87</v>
      </c>
      <c r="H17" t="s">
        <v>93</v>
      </c>
      <c r="I17" s="5" t="s">
        <v>148</v>
      </c>
    </row>
    <row r="18" spans="1:11" ht="15" customHeight="1" x14ac:dyDescent="0.25">
      <c r="A18" t="s">
        <v>14</v>
      </c>
      <c r="B18" t="s">
        <v>149</v>
      </c>
      <c r="C18" t="s">
        <v>150</v>
      </c>
      <c r="D18" t="s">
        <v>151</v>
      </c>
      <c r="E18" t="s">
        <v>150</v>
      </c>
      <c r="F18" t="s">
        <v>90</v>
      </c>
      <c r="G18" t="s">
        <v>152</v>
      </c>
      <c r="H18" t="s">
        <v>88</v>
      </c>
      <c r="I18" s="5" t="s">
        <v>138</v>
      </c>
    </row>
    <row r="19" spans="1:11" ht="15" customHeight="1" x14ac:dyDescent="0.25">
      <c r="A19" t="s">
        <v>153</v>
      </c>
      <c r="B19">
        <v>1.5</v>
      </c>
      <c r="C19">
        <v>2</v>
      </c>
      <c r="D19">
        <v>2.5</v>
      </c>
      <c r="E19">
        <f>AVERAGE(B19:D19)</f>
        <v>2</v>
      </c>
      <c r="F19" t="s">
        <v>99</v>
      </c>
      <c r="G19" t="s">
        <v>87</v>
      </c>
      <c r="H19" t="s">
        <v>88</v>
      </c>
      <c r="I19" s="5" t="s">
        <v>138</v>
      </c>
    </row>
    <row r="20" spans="1:11" ht="15" customHeight="1" x14ac:dyDescent="0.25">
      <c r="A20" t="s">
        <v>38</v>
      </c>
      <c r="B20" t="s">
        <v>154</v>
      </c>
      <c r="C20" t="s">
        <v>100</v>
      </c>
      <c r="D20" t="s">
        <v>102</v>
      </c>
      <c r="E20" t="s">
        <v>155</v>
      </c>
      <c r="F20" t="s">
        <v>103</v>
      </c>
      <c r="G20" t="s">
        <v>87</v>
      </c>
      <c r="H20" t="s">
        <v>93</v>
      </c>
      <c r="I20" s="5" t="s">
        <v>138</v>
      </c>
    </row>
    <row r="21" spans="1:11" ht="15" customHeight="1" x14ac:dyDescent="0.25">
      <c r="A21" t="s">
        <v>6</v>
      </c>
      <c r="B21">
        <v>14</v>
      </c>
      <c r="C21">
        <v>11</v>
      </c>
      <c r="D21">
        <v>10</v>
      </c>
      <c r="E21">
        <f>AVERAGE(B21:D21)</f>
        <v>11.666666666666666</v>
      </c>
      <c r="F21" t="s">
        <v>156</v>
      </c>
      <c r="G21" t="s">
        <v>87</v>
      </c>
      <c r="H21" t="s">
        <v>93</v>
      </c>
      <c r="I21" s="5" t="s">
        <v>138</v>
      </c>
    </row>
    <row r="22" spans="1:11" ht="15" customHeight="1" x14ac:dyDescent="0.25">
      <c r="A22" t="s">
        <v>2</v>
      </c>
      <c r="B22">
        <v>3.7</v>
      </c>
      <c r="C22">
        <v>3.9</v>
      </c>
      <c r="D22">
        <v>4.05</v>
      </c>
      <c r="E22">
        <f>AVERAGE(B22:D22)</f>
        <v>3.8833333333333329</v>
      </c>
      <c r="F22" t="s">
        <v>104</v>
      </c>
      <c r="G22" t="str">
        <f>IF(E22&gt;=4,"✓","✗")</f>
        <v>✗</v>
      </c>
      <c r="H22" t="s">
        <v>88</v>
      </c>
      <c r="I22" s="5" t="s">
        <v>148</v>
      </c>
    </row>
    <row r="23" spans="1:11" ht="15" customHeight="1" x14ac:dyDescent="0.25">
      <c r="A23" t="s">
        <v>85</v>
      </c>
      <c r="B23" t="s">
        <v>157</v>
      </c>
      <c r="C23" t="s">
        <v>158</v>
      </c>
      <c r="D23" t="s">
        <v>159</v>
      </c>
      <c r="E23" t="s">
        <v>158</v>
      </c>
      <c r="F23" t="s">
        <v>160</v>
      </c>
      <c r="G23" t="s">
        <v>87</v>
      </c>
      <c r="H23" t="s">
        <v>88</v>
      </c>
      <c r="I23" s="5" t="s">
        <v>138</v>
      </c>
    </row>
    <row r="24" spans="1:11" ht="15" customHeight="1" x14ac:dyDescent="0.25">
      <c r="A24" t="s">
        <v>86</v>
      </c>
      <c r="B24">
        <v>3.9</v>
      </c>
      <c r="C24">
        <v>4.0999999999999996</v>
      </c>
      <c r="D24">
        <v>4.25</v>
      </c>
      <c r="E24">
        <f>AVERAGE(B24:D24)</f>
        <v>4.083333333333333</v>
      </c>
      <c r="F24" t="s">
        <v>104</v>
      </c>
      <c r="G24" t="s">
        <v>87</v>
      </c>
      <c r="H24" t="s">
        <v>88</v>
      </c>
      <c r="I24" s="5" t="s">
        <v>138</v>
      </c>
    </row>
    <row r="27" spans="1:11" ht="15" customHeight="1" x14ac:dyDescent="0.25">
      <c r="A27" s="27" t="s">
        <v>161</v>
      </c>
      <c r="B27" s="27"/>
      <c r="C27" s="27"/>
      <c r="D27" s="27"/>
      <c r="E27" s="27"/>
      <c r="F27" s="27"/>
      <c r="G27" s="27"/>
      <c r="H27" s="27"/>
      <c r="I27" s="27"/>
      <c r="J27" s="27"/>
      <c r="K27" s="27"/>
    </row>
    <row r="28" spans="1:11" ht="60" customHeight="1" x14ac:dyDescent="0.25">
      <c r="A28" s="8" t="s">
        <v>162</v>
      </c>
      <c r="B28" s="28" t="s">
        <v>163</v>
      </c>
      <c r="C28" s="28"/>
      <c r="D28" s="28"/>
      <c r="E28" s="28"/>
      <c r="F28" s="28"/>
      <c r="G28" s="28"/>
      <c r="H28" s="28"/>
      <c r="I28" s="28"/>
      <c r="J28" s="28"/>
      <c r="K28" s="28"/>
    </row>
    <row r="29" spans="1:11" ht="60" customHeight="1" x14ac:dyDescent="0.25">
      <c r="A29" s="8" t="s">
        <v>164</v>
      </c>
      <c r="B29" s="28" t="s">
        <v>165</v>
      </c>
      <c r="C29" s="28"/>
      <c r="D29" s="28"/>
      <c r="E29" s="28"/>
      <c r="F29" s="28"/>
      <c r="G29" s="28"/>
      <c r="H29" s="28"/>
      <c r="I29" s="28"/>
      <c r="J29" s="28"/>
      <c r="K29" s="28"/>
    </row>
    <row r="30" spans="1:11" ht="60" customHeight="1" x14ac:dyDescent="0.25">
      <c r="A30" s="8" t="s">
        <v>166</v>
      </c>
      <c r="B30" s="28" t="s">
        <v>167</v>
      </c>
      <c r="C30" s="28"/>
      <c r="D30" s="28"/>
      <c r="E30" s="28"/>
      <c r="F30" s="28"/>
      <c r="G30" s="28"/>
      <c r="H30" s="28"/>
      <c r="I30" s="28"/>
      <c r="J30" s="28"/>
      <c r="K30" s="28"/>
    </row>
    <row r="31" spans="1:11" ht="60" customHeight="1" x14ac:dyDescent="0.25">
      <c r="A31" s="8" t="s">
        <v>168</v>
      </c>
      <c r="B31" s="28" t="s">
        <v>169</v>
      </c>
      <c r="C31" s="28"/>
      <c r="D31" s="28"/>
      <c r="E31" s="28"/>
      <c r="F31" s="28"/>
      <c r="G31" s="28"/>
      <c r="H31" s="28"/>
      <c r="I31" s="28"/>
      <c r="J31" s="28"/>
      <c r="K31" s="28"/>
    </row>
    <row r="32" spans="1:11" ht="60" customHeight="1" x14ac:dyDescent="0.25">
      <c r="A32" s="8" t="s">
        <v>170</v>
      </c>
      <c r="B32" s="28" t="s">
        <v>171</v>
      </c>
      <c r="C32" s="28"/>
      <c r="D32" s="28"/>
      <c r="E32" s="28"/>
      <c r="F32" s="28"/>
      <c r="G32" s="28"/>
      <c r="H32" s="28"/>
      <c r="I32" s="28"/>
      <c r="J32" s="28"/>
      <c r="K32" s="28"/>
    </row>
    <row r="35" spans="1:11" ht="15" customHeight="1" x14ac:dyDescent="0.25">
      <c r="A35" s="27" t="s">
        <v>172</v>
      </c>
      <c r="B35" s="27"/>
      <c r="C35" s="27"/>
      <c r="D35" s="27"/>
      <c r="E35" s="27"/>
      <c r="F35" s="27"/>
      <c r="G35" s="27"/>
      <c r="H35" s="27"/>
      <c r="I35" s="27"/>
      <c r="J35" s="27"/>
      <c r="K35" s="27"/>
    </row>
    <row r="36" spans="1:11" ht="49.5" customHeight="1" x14ac:dyDescent="0.25">
      <c r="A36" s="8" t="s">
        <v>173</v>
      </c>
      <c r="B36" s="28" t="s">
        <v>174</v>
      </c>
      <c r="C36" s="28"/>
      <c r="D36" s="28"/>
      <c r="E36" s="28"/>
      <c r="F36" s="28"/>
      <c r="G36" s="28"/>
      <c r="H36" s="28"/>
      <c r="I36" s="28"/>
      <c r="J36" s="28"/>
      <c r="K36" s="28"/>
    </row>
    <row r="37" spans="1:11" ht="49.5" customHeight="1" x14ac:dyDescent="0.25">
      <c r="A37" s="8" t="s">
        <v>175</v>
      </c>
      <c r="B37" s="28" t="s">
        <v>176</v>
      </c>
      <c r="C37" s="28"/>
      <c r="D37" s="28"/>
      <c r="E37" s="28"/>
      <c r="F37" s="28"/>
      <c r="G37" s="28"/>
      <c r="H37" s="28"/>
      <c r="I37" s="28"/>
      <c r="J37" s="28"/>
      <c r="K37" s="28"/>
    </row>
    <row r="38" spans="1:11" ht="49.5" customHeight="1" x14ac:dyDescent="0.25">
      <c r="A38" s="8" t="s">
        <v>177</v>
      </c>
      <c r="B38" s="28" t="s">
        <v>178</v>
      </c>
      <c r="C38" s="28"/>
      <c r="D38" s="28"/>
      <c r="E38" s="28"/>
      <c r="F38" s="28"/>
      <c r="G38" s="28"/>
      <c r="H38" s="28"/>
      <c r="I38" s="28"/>
      <c r="J38" s="28"/>
      <c r="K38" s="28"/>
    </row>
    <row r="39" spans="1:11" ht="49.5" customHeight="1" x14ac:dyDescent="0.25">
      <c r="A39" s="8" t="s">
        <v>179</v>
      </c>
      <c r="B39" s="28" t="s">
        <v>180</v>
      </c>
      <c r="C39" s="28"/>
      <c r="D39" s="28"/>
      <c r="E39" s="28"/>
      <c r="F39" s="28"/>
      <c r="G39" s="28"/>
      <c r="H39" s="28"/>
      <c r="I39" s="28"/>
      <c r="J39" s="28"/>
      <c r="K39" s="28"/>
    </row>
    <row r="50" spans="1:3" x14ac:dyDescent="0.25">
      <c r="A50" t="s">
        <v>4</v>
      </c>
      <c r="B50" t="s">
        <v>0</v>
      </c>
      <c r="C50" t="s">
        <v>3</v>
      </c>
    </row>
    <row r="51" spans="1:3" x14ac:dyDescent="0.25">
      <c r="A51" t="s">
        <v>181</v>
      </c>
      <c r="B51">
        <v>40</v>
      </c>
      <c r="C51">
        <v>45</v>
      </c>
    </row>
    <row r="52" spans="1:3" x14ac:dyDescent="0.25">
      <c r="A52" t="s">
        <v>182</v>
      </c>
      <c r="B52">
        <v>42.5</v>
      </c>
      <c r="C52">
        <v>45</v>
      </c>
    </row>
    <row r="53" spans="1:3" x14ac:dyDescent="0.25">
      <c r="A53" t="s">
        <v>183</v>
      </c>
      <c r="B53">
        <v>42.5</v>
      </c>
      <c r="C53">
        <v>45</v>
      </c>
    </row>
    <row r="60" spans="1:3" x14ac:dyDescent="0.25">
      <c r="A60" t="s">
        <v>4</v>
      </c>
      <c r="B60" t="s">
        <v>7</v>
      </c>
    </row>
    <row r="61" spans="1:3" x14ac:dyDescent="0.25">
      <c r="A61" t="s">
        <v>181</v>
      </c>
      <c r="B61">
        <v>3.7</v>
      </c>
    </row>
    <row r="62" spans="1:3" x14ac:dyDescent="0.25">
      <c r="A62" t="s">
        <v>182</v>
      </c>
      <c r="B62">
        <v>3.9</v>
      </c>
    </row>
    <row r="63" spans="1:3" x14ac:dyDescent="0.25">
      <c r="A63" t="s">
        <v>183</v>
      </c>
      <c r="B63">
        <v>4.05</v>
      </c>
    </row>
  </sheetData>
  <mergeCells count="14">
    <mergeCell ref="B36:K36"/>
    <mergeCell ref="B37:K37"/>
    <mergeCell ref="B38:K38"/>
    <mergeCell ref="B39:K39"/>
    <mergeCell ref="B29:K29"/>
    <mergeCell ref="B30:K30"/>
    <mergeCell ref="B31:K31"/>
    <mergeCell ref="B32:K32"/>
    <mergeCell ref="A35:K35"/>
    <mergeCell ref="A1:K1"/>
    <mergeCell ref="A3:K3"/>
    <mergeCell ref="A9:K9"/>
    <mergeCell ref="A27:K27"/>
    <mergeCell ref="B28:K28"/>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1. Report Structure</vt:lpstr>
      <vt:lpstr>2. Sample Quarterly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duy.le</cp:lastModifiedBy>
  <cp:revision>1</cp:revision>
  <dcterms:created xsi:type="dcterms:W3CDTF">2025-12-29T08:44:08Z</dcterms:created>
  <dcterms:modified xsi:type="dcterms:W3CDTF">2026-03-31T03:43:17Z</dcterms:modified>
  <dc:language>en-US</dc:language>
</cp:coreProperties>
</file>